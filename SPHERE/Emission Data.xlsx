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toom\Documents\GitHub\fyp-eco-project\SPHERE\"/>
    </mc:Choice>
  </mc:AlternateContent>
  <xr:revisionPtr revIDLastSave="0" documentId="13_ncr:1_{7A2BFFDB-D9A2-4108-8A65-D73276E527AA}" xr6:coauthVersionLast="47" xr6:coauthVersionMax="47" xr10:uidLastSave="{00000000-0000-0000-0000-000000000000}"/>
  <bookViews>
    <workbookView xWindow="-98" yWindow="-98" windowWidth="21795" windowHeight="12975" firstSheet="9" activeTab="13" xr2:uid="{5462503A-A9EB-4450-AC80-31FA53E589A8}"/>
  </bookViews>
  <sheets>
    <sheet name="Data Sheet" sheetId="1" r:id="rId1"/>
    <sheet name="Materials" sheetId="17" r:id="rId2"/>
    <sheet name="Transport WTT" sheetId="2" r:id="rId3"/>
    <sheet name="Transport" sheetId="12" r:id="rId4"/>
    <sheet name="Machine Types" sheetId="13" r:id="rId5"/>
    <sheet name="Recycling" sheetId="14" r:id="rId6"/>
    <sheet name="Disassembly by Industry" sheetId="22" r:id="rId7"/>
    <sheet name="Usage Types" sheetId="21" r:id="rId8"/>
    <sheet name="Facilities" sheetId="20" r:id="rId9"/>
    <sheet name="Process" sheetId="19" r:id="rId10"/>
    <sheet name="Machine_Process" sheetId="24" r:id="rId11"/>
    <sheet name="YCM" sheetId="25" r:id="rId12"/>
    <sheet name="Amada" sheetId="26" r:id="rId13"/>
    <sheet name="Roku Roku" sheetId="35" r:id="rId14"/>
    <sheet name="Mazak" sheetId="27" r:id="rId15"/>
    <sheet name="GWP of GHG_gases" sheetId="18" r:id="rId16"/>
    <sheet name="Packaging" sheetId="16" r:id="rId17"/>
    <sheet name="Manufacturing" sheetId="15" r:id="rId18"/>
    <sheet name="Test Page" sheetId="3" r:id="rId19"/>
    <sheet name="Transport Test Page" sheetId="5" r:id="rId20"/>
    <sheet name="Van" sheetId="6" r:id="rId21"/>
    <sheet name="HGV" sheetId="7" r:id="rId22"/>
    <sheet name="Freight Flight" sheetId="8" r:id="rId23"/>
    <sheet name="Rail" sheetId="9" r:id="rId24"/>
    <sheet name="Ship" sheetId="10" r:id="rId25"/>
    <sheet name="Usage" sheetId="23" r:id="rId26"/>
    <sheet name="End-of-Life" sheetId="28" r:id="rId27"/>
    <sheet name="Assembly" sheetId="33" r:id="rId28"/>
    <sheet name="Waste" sheetId="34" r:id="rId29"/>
  </sheets>
  <definedNames>
    <definedName name="_xlnm._FilterDatabase" localSheetId="15" hidden="1">'GWP of GHG_gases'!$A$1:$C$202</definedName>
    <definedName name="wttTranspo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23" l="1"/>
  <c r="G1" i="23"/>
  <c r="E1" i="23"/>
  <c r="C1" i="23"/>
  <c r="B66" i="2"/>
  <c r="B83" i="2"/>
  <c r="B80" i="2"/>
  <c r="B73" i="2"/>
  <c r="B55" i="2"/>
  <c r="B52" i="2"/>
  <c r="B47" i="2"/>
  <c r="B41" i="2"/>
  <c r="B34" i="2"/>
</calcChain>
</file>

<file path=xl/sharedStrings.xml><?xml version="1.0" encoding="utf-8"?>
<sst xmlns="http://schemas.openxmlformats.org/spreadsheetml/2006/main" count="3277" uniqueCount="1216">
  <si>
    <t>Country</t>
  </si>
  <si>
    <t>Distance to Singapore (km)</t>
  </si>
  <si>
    <t>Steel (Co2ekg/kg)</t>
  </si>
  <si>
    <t>Aluminium (Co2ekg/kg)</t>
  </si>
  <si>
    <t>Cement (Co2ekg/kg)</t>
  </si>
  <si>
    <t>Electricity Co2ekg/kWh</t>
  </si>
  <si>
    <t>Global Plastic (Co2ekg/kg)</t>
  </si>
  <si>
    <t>Global Carbon Fibre (Co2ekg/kg)</t>
  </si>
  <si>
    <t>Algeria</t>
  </si>
  <si>
    <t>Albania</t>
  </si>
  <si>
    <t>Argentina</t>
  </si>
  <si>
    <t>Austria</t>
  </si>
  <si>
    <t>Australia</t>
  </si>
  <si>
    <t>Azerbaijan</t>
  </si>
  <si>
    <t>Bangladesh</t>
  </si>
  <si>
    <t>Belarus</t>
  </si>
  <si>
    <t>Belgium</t>
  </si>
  <si>
    <t>Bahrain</t>
  </si>
  <si>
    <t>Brazil</t>
  </si>
  <si>
    <t>Bulgaria</t>
  </si>
  <si>
    <t>Canada</t>
  </si>
  <si>
    <t>Cameroon</t>
  </si>
  <si>
    <t>Chile</t>
  </si>
  <si>
    <t>China</t>
  </si>
  <si>
    <t>Czechia</t>
  </si>
  <si>
    <t>Ecuador</t>
  </si>
  <si>
    <t>Egypt</t>
  </si>
  <si>
    <t>Finland</t>
  </si>
  <si>
    <t>France</t>
  </si>
  <si>
    <t>Germany</t>
  </si>
  <si>
    <t>Ghana</t>
  </si>
  <si>
    <t>Guatemala</t>
  </si>
  <si>
    <t>Greece</t>
  </si>
  <si>
    <t>Hungary</t>
  </si>
  <si>
    <t>Iceland</t>
  </si>
  <si>
    <t>Iraq</t>
  </si>
  <si>
    <t>India</t>
  </si>
  <si>
    <t>Iran</t>
  </si>
  <si>
    <t xml:space="preserve">Indonesia </t>
  </si>
  <si>
    <t>Ireland</t>
  </si>
  <si>
    <t>Israel</t>
  </si>
  <si>
    <t>Italy</t>
  </si>
  <si>
    <t>Japan</t>
  </si>
  <si>
    <t>Kuwait</t>
  </si>
  <si>
    <t>Kazakhstan</t>
  </si>
  <si>
    <t>Luxemburg</t>
  </si>
  <si>
    <t>Lithuania</t>
  </si>
  <si>
    <t>Libya</t>
  </si>
  <si>
    <t>Malaysia</t>
  </si>
  <si>
    <t>Mexico</t>
  </si>
  <si>
    <t>Morocco</t>
  </si>
  <si>
    <t>Mozambique</t>
  </si>
  <si>
    <t>Myanmar</t>
  </si>
  <si>
    <t>6. 8</t>
  </si>
  <si>
    <t>Moldova</t>
  </si>
  <si>
    <t>Netherlands</t>
  </si>
  <si>
    <t>New Zealand</t>
  </si>
  <si>
    <t>Nigeria</t>
  </si>
  <si>
    <t>Nepal</t>
  </si>
  <si>
    <t>Norway</t>
  </si>
  <si>
    <t>Oman</t>
  </si>
  <si>
    <t>Pakistan</t>
  </si>
  <si>
    <t>Philippines</t>
  </si>
  <si>
    <t>Portugal</t>
  </si>
  <si>
    <t>Peru</t>
  </si>
  <si>
    <t>Poland</t>
  </si>
  <si>
    <t>Qatar</t>
  </si>
  <si>
    <t>Romania</t>
  </si>
  <si>
    <t>Russia</t>
  </si>
  <si>
    <t>Saudi Arabia</t>
  </si>
  <si>
    <t>Serbia</t>
  </si>
  <si>
    <t>Singapore</t>
  </si>
  <si>
    <t>Slovakia</t>
  </si>
  <si>
    <t>Sri Lanka</t>
  </si>
  <si>
    <t>South Korea</t>
  </si>
  <si>
    <t>Slovenia</t>
  </si>
  <si>
    <t>Syrian Arab</t>
  </si>
  <si>
    <t>South Africa</t>
  </si>
  <si>
    <t>Spain</t>
  </si>
  <si>
    <t>Sweden</t>
  </si>
  <si>
    <t>Switzerland</t>
  </si>
  <si>
    <t>Thailand</t>
  </si>
  <si>
    <t>Turkiye</t>
  </si>
  <si>
    <t>Taiwan</t>
  </si>
  <si>
    <t>Ukraine</t>
  </si>
  <si>
    <t>United Kingdom</t>
  </si>
  <si>
    <t>Uganda</t>
  </si>
  <si>
    <t>Uzbekistan</t>
  </si>
  <si>
    <t>United Arab Emirates</t>
  </si>
  <si>
    <t>United States of America</t>
  </si>
  <si>
    <t>Vietnam</t>
  </si>
  <si>
    <t>Mode of Transport</t>
  </si>
  <si>
    <t>Type</t>
  </si>
  <si>
    <t>Unit</t>
  </si>
  <si>
    <t>Co2ekg (Diesel)</t>
  </si>
  <si>
    <t>Co2ekg (Petrol)</t>
  </si>
  <si>
    <t>Co2ekg (Battery)</t>
  </si>
  <si>
    <t>Van</t>
  </si>
  <si>
    <t>Class One (up to 1305kg)</t>
  </si>
  <si>
    <t>km</t>
  </si>
  <si>
    <t>Class Two (1305kg to 1704kg)</t>
  </si>
  <si>
    <t>Class One (1704kg to 3500kg)</t>
  </si>
  <si>
    <t>Average (up to 3500kg)</t>
  </si>
  <si>
    <t>0% Laden</t>
  </si>
  <si>
    <t>50% Laden</t>
  </si>
  <si>
    <t>100% Laden</t>
  </si>
  <si>
    <t>Average Laden</t>
  </si>
  <si>
    <t>HGV (Diesel)</t>
  </si>
  <si>
    <t>Rigid (&gt; 3500kg to 7500kg)</t>
  </si>
  <si>
    <t>Rigid (&gt;7500kg to 17000kg)</t>
  </si>
  <si>
    <t>Rigid (&gt; 17000kg)</t>
  </si>
  <si>
    <t>All Rigids</t>
  </si>
  <si>
    <t>Articulated ( &gt;3500kg to 33000kg)</t>
  </si>
  <si>
    <t>Articulated ( &gt;33000kg)</t>
  </si>
  <si>
    <t>All Artics</t>
  </si>
  <si>
    <t>All HVGs</t>
  </si>
  <si>
    <t>HGV Refrigerated (Diesel)</t>
  </si>
  <si>
    <t>With RF</t>
  </si>
  <si>
    <t xml:space="preserve"> Without RF</t>
  </si>
  <si>
    <t>&lt; 1500km</t>
  </si>
  <si>
    <t>&gt; 1500km</t>
  </si>
  <si>
    <t>Freight Flights</t>
  </si>
  <si>
    <t>International</t>
  </si>
  <si>
    <t>1000kgkm</t>
  </si>
  <si>
    <t>0.13516 (With RF)</t>
  </si>
  <si>
    <t>0.13516 (Without RF)</t>
  </si>
  <si>
    <t>Belly Freight Flights</t>
  </si>
  <si>
    <t>Freighter</t>
  </si>
  <si>
    <t>Rail</t>
  </si>
  <si>
    <t>Freight Train</t>
  </si>
  <si>
    <t>Size</t>
  </si>
  <si>
    <t>Co2ekg</t>
  </si>
  <si>
    <t>Sea Tanker</t>
  </si>
  <si>
    <t>Crude tanker</t>
  </si>
  <si>
    <t>200,000+ dwt</t>
  </si>
  <si>
    <t>120,000–199,999 dwt</t>
  </si>
  <si>
    <t>80,000–119,999 dwt</t>
  </si>
  <si>
    <t>60,000–79,999 dwt</t>
  </si>
  <si>
    <t>10,000–59,999 dwt</t>
  </si>
  <si>
    <t>0–9999 dwt</t>
  </si>
  <si>
    <t>Average</t>
  </si>
  <si>
    <t xml:space="preserve">Products tanker </t>
  </si>
  <si>
    <t>60,000+ dwt</t>
  </si>
  <si>
    <t>20,000–59,999 dwt</t>
  </si>
  <si>
    <t>10,000–19,999 dwt</t>
  </si>
  <si>
    <t>5000–9999 dwt</t>
  </si>
  <si>
    <t>0–4999 dwt</t>
  </si>
  <si>
    <t xml:space="preserve">Chemical tanker </t>
  </si>
  <si>
    <t>20,000+ dwt</t>
  </si>
  <si>
    <t>LNG tanker</t>
  </si>
  <si>
    <t>200,000+ m3</t>
  </si>
  <si>
    <t>0–199,999 m3</t>
  </si>
  <si>
    <t>LPG Tanker</t>
  </si>
  <si>
    <t>50,000+ m3</t>
  </si>
  <si>
    <t>0–49,999 m3</t>
  </si>
  <si>
    <t>Cargo Ship</t>
  </si>
  <si>
    <t>Bulk carrier</t>
  </si>
  <si>
    <t>100,000–199,999 dwt</t>
  </si>
  <si>
    <t>60,000–99,999 dwt</t>
  </si>
  <si>
    <t>35,000–59,999 dwt</t>
  </si>
  <si>
    <t>10,000–34,999 dwt</t>
  </si>
  <si>
    <t>General cargo</t>
  </si>
  <si>
    <t>10,000+ dwt</t>
  </si>
  <si>
    <t>10,000+ dwt 100+ TEU</t>
  </si>
  <si>
    <t>5000–9999 dwt 100+ TEU</t>
  </si>
  <si>
    <t>0–4999 dwt 100+ TEU</t>
  </si>
  <si>
    <t>Container ship</t>
  </si>
  <si>
    <t>8000+ TEU</t>
  </si>
  <si>
    <t>5000–7999 TEU</t>
  </si>
  <si>
    <t>3000–4999 TEU</t>
  </si>
  <si>
    <t>2000–2999 TEU</t>
  </si>
  <si>
    <t>1000–1999 TEU</t>
  </si>
  <si>
    <t>0–999 TEU</t>
  </si>
  <si>
    <t>Vehicle transport</t>
  </si>
  <si>
    <t>4000+ CEU</t>
  </si>
  <si>
    <t>0–3999 CEU</t>
  </si>
  <si>
    <t>RoRo-Ferry</t>
  </si>
  <si>
    <t>2000+ LM</t>
  </si>
  <si>
    <t>0–1999 LM</t>
  </si>
  <si>
    <t>Large RoPax ferry</t>
  </si>
  <si>
    <t>Refrigerated cargo</t>
  </si>
  <si>
    <t>All dwt</t>
  </si>
  <si>
    <t>Co2eKg</t>
  </si>
  <si>
    <t>Products tanker</t>
  </si>
  <si>
    <t>Chemical tanker</t>
  </si>
  <si>
    <t>LPG tanker</t>
  </si>
  <si>
    <t>Bulk Carrier</t>
  </si>
  <si>
    <t>NIL</t>
  </si>
  <si>
    <t>Crude Tanker</t>
  </si>
  <si>
    <t>Changes here:</t>
  </si>
  <si>
    <t>Products Tanker</t>
  </si>
  <si>
    <t>Chemical Tanker</t>
  </si>
  <si>
    <t>LNG Tanker</t>
  </si>
  <si>
    <t>General Cargo</t>
  </si>
  <si>
    <t>Container Ship</t>
  </si>
  <si>
    <t>Vehicle Transport</t>
  </si>
  <si>
    <t>Machine</t>
  </si>
  <si>
    <t>Specific Energy Use (kWh/kg)</t>
  </si>
  <si>
    <t>CNC (YCM1)</t>
  </si>
  <si>
    <t>CNC (YCM4)</t>
  </si>
  <si>
    <t>Surface Grinder (S.G)</t>
  </si>
  <si>
    <t>CNC (RB8)</t>
  </si>
  <si>
    <t>Wire Cut (W/C)</t>
  </si>
  <si>
    <t xml:space="preserve">Rokou Roku Micro Fine Precision Machine Center </t>
  </si>
  <si>
    <t>Metal Type</t>
  </si>
  <si>
    <t>Aluminium</t>
  </si>
  <si>
    <t xml:space="preserve">    </t>
  </si>
  <si>
    <t>Grid Carbon Intensity  (kg CO₂e/kWh)</t>
  </si>
  <si>
    <r>
      <t>CO₂e per hour</t>
    </r>
    <r>
      <rPr>
        <sz val="11"/>
        <color rgb="FF000000"/>
        <rFont val="Aptos Narrow"/>
        <family val="2"/>
        <scheme val="minor"/>
      </rPr>
      <t xml:space="preserve"> = </t>
    </r>
    <r>
      <rPr>
        <sz val="11"/>
        <color rgb="FF000000"/>
        <rFont val="Aptos Narrow"/>
        <scheme val="minor"/>
      </rPr>
      <t>Power consumption (kW) × Country-specific CO₂e intensity/Grid Carbon Intensity (kgCO₂e/kWh)</t>
    </r>
  </si>
  <si>
    <r>
      <t>Carbon emission from manufacturing</t>
    </r>
    <r>
      <rPr>
        <sz val="11"/>
        <color rgb="FF000000"/>
        <rFont val="Aptos Narrow"/>
        <family val="2"/>
        <scheme val="minor"/>
      </rPr>
      <t>: specific energy use x grid power intensity (SG) x raw matl prod(page 1) x weight x machining time</t>
    </r>
  </si>
  <si>
    <t>CO₂e per kg (or per operation) = Power consumption (kWh/kg) × Country CO₂ intensity (kg CO₂e/kWh)</t>
  </si>
  <si>
    <r>
      <t xml:space="preserve">Source: </t>
    </r>
    <r>
      <rPr>
        <b/>
        <sz val="11"/>
        <color rgb="FF000000"/>
        <rFont val="Aptos Narrow"/>
        <scheme val="minor"/>
      </rPr>
      <t>Milling</t>
    </r>
    <r>
      <rPr>
        <sz val="11"/>
        <color rgb="FF000000"/>
        <rFont val="Aptos Narrow"/>
        <family val="2"/>
        <scheme val="minor"/>
      </rPr>
      <t xml:space="preserve"> https://tinyurl.com/mr26vn39 </t>
    </r>
    <r>
      <rPr>
        <b/>
        <sz val="11"/>
        <color rgb="FF000000"/>
        <rFont val="Aptos Narrow"/>
        <scheme val="minor"/>
      </rPr>
      <t>page 28</t>
    </r>
  </si>
  <si>
    <r>
      <t xml:space="preserve">  </t>
    </r>
    <r>
      <rPr>
        <b/>
        <sz val="11"/>
        <color rgb="FF000000"/>
        <rFont val="Aptos Narrow"/>
        <scheme val="minor"/>
      </rPr>
      <t xml:space="preserve">Lathe: </t>
    </r>
    <r>
      <rPr>
        <sz val="11"/>
        <color rgb="FF000000"/>
        <rFont val="Aptos Narrow"/>
        <scheme val="minor"/>
      </rPr>
      <t>https://tinyurl.com/mr26vn39</t>
    </r>
    <r>
      <rPr>
        <b/>
        <sz val="11"/>
        <color rgb="FF000000"/>
        <rFont val="Aptos Narrow"/>
        <scheme val="minor"/>
      </rPr>
      <t xml:space="preserve"> page 26</t>
    </r>
  </si>
  <si>
    <r>
      <t xml:space="preserve">Country Grid Carbon intensity: </t>
    </r>
    <r>
      <rPr>
        <sz val="11"/>
        <color rgb="FF000000"/>
        <rFont val="Aptos Narrow"/>
        <scheme val="minor"/>
      </rPr>
      <t>https://ourworldindata.org/grapher/carbon-intensity-electricity?tab=table</t>
    </r>
  </si>
  <si>
    <t>Steps for user to input the manufascturing process:</t>
  </si>
  <si>
    <t>Indonesia</t>
  </si>
  <si>
    <t>Luxembourg</t>
  </si>
  <si>
    <t>Syria</t>
  </si>
  <si>
    <t>UAE</t>
  </si>
  <si>
    <t>USA</t>
  </si>
  <si>
    <t>Steel</t>
  </si>
  <si>
    <t>Packaging types</t>
  </si>
  <si>
    <t>Plastic - EPS</t>
  </si>
  <si>
    <t>Plastic - PE</t>
  </si>
  <si>
    <t>Plastic - HDPE</t>
  </si>
  <si>
    <t>Plastic - LDPE</t>
  </si>
  <si>
    <t>Plastic - PET</t>
  </si>
  <si>
    <t>Plastic - PP</t>
  </si>
  <si>
    <t>Plastic - PVC</t>
  </si>
  <si>
    <r>
      <t xml:space="preserve">Cardboard Box </t>
    </r>
    <r>
      <rPr>
        <b/>
        <sz val="11"/>
        <color rgb="FF000000"/>
        <rFont val="Aptos Narrow"/>
        <scheme val="minor"/>
      </rPr>
      <t>(6x6x6)</t>
    </r>
  </si>
  <si>
    <r>
      <t xml:space="preserve">Cardboard Box </t>
    </r>
    <r>
      <rPr>
        <b/>
        <sz val="11"/>
        <color rgb="FF000000"/>
        <rFont val="Aptos Narrow"/>
        <scheme val="minor"/>
      </rPr>
      <t>(9x9x9)</t>
    </r>
  </si>
  <si>
    <r>
      <t xml:space="preserve">Cardboard Box </t>
    </r>
    <r>
      <rPr>
        <b/>
        <sz val="11"/>
        <color rgb="FF000000"/>
        <rFont val="Aptos Narrow"/>
        <scheme val="minor"/>
      </rPr>
      <t>(12x12x12)</t>
    </r>
  </si>
  <si>
    <r>
      <t xml:space="preserve">Cardboard Box </t>
    </r>
    <r>
      <rPr>
        <b/>
        <sz val="11"/>
        <color rgb="FF000000"/>
        <rFont val="Aptos Narrow"/>
        <scheme val="minor"/>
      </rPr>
      <t>(16x16x16)</t>
    </r>
  </si>
  <si>
    <r>
      <t xml:space="preserve">Cardboard Box </t>
    </r>
    <r>
      <rPr>
        <b/>
        <sz val="11"/>
        <color rgb="FF000000"/>
        <rFont val="Aptos Narrow"/>
        <scheme val="minor"/>
      </rPr>
      <t>(24x24x24)</t>
    </r>
  </si>
  <si>
    <t>x</t>
  </si>
  <si>
    <t>Emission (CO2e/kg)</t>
  </si>
  <si>
    <t>Base CEF (CO₂e/kg)</t>
  </si>
  <si>
    <t>Class Three (1704kg to 3500kg)</t>
  </si>
  <si>
    <t>Materials</t>
  </si>
  <si>
    <t>Aluminum</t>
  </si>
  <si>
    <t>Cement</t>
  </si>
  <si>
    <t>Plastic</t>
  </si>
  <si>
    <t>Carbon Fiber</t>
  </si>
  <si>
    <t xml:space="preserve">Intergrex I-100H / S / ST </t>
  </si>
  <si>
    <t xml:space="preserve">Intergrex I-200H / S / ST </t>
  </si>
  <si>
    <t xml:space="preserve">Intergrex 250H / S / ST </t>
  </si>
  <si>
    <t>Intergrex I-350H / S / ST</t>
  </si>
  <si>
    <t>Intergrex I-450H / S / ST </t>
  </si>
  <si>
    <t>Indicator </t>
  </si>
  <si>
    <t>GHG </t>
  </si>
  <si>
    <t>GWP kgCO2e/kg GHG </t>
  </si>
  <si>
    <t>1,1,1-Trichloroethane </t>
  </si>
  <si>
    <t>1,1,2,2-Tetrafluoro-1-methoxyethane </t>
  </si>
  <si>
    <t>1,2-Dibromo-1,1,2,2-tetrafluoroethane </t>
  </si>
  <si>
    <t>Butane, 1,1,1,2,2,3,3,4,4-nonafluoro-4-methoxy- </t>
  </si>
  <si>
    <t>CFC-11 </t>
  </si>
  <si>
    <t>CFC-113 </t>
  </si>
  <si>
    <t>CFC-114 </t>
  </si>
  <si>
    <t>CFC-115 </t>
  </si>
  <si>
    <t>CFC-12 </t>
  </si>
  <si>
    <t>CFC-13 </t>
  </si>
  <si>
    <t>Carbon dioxide </t>
  </si>
  <si>
    <t>1 </t>
  </si>
  <si>
    <t>Carbon tetrachloride </t>
  </si>
  <si>
    <t>Carbon tetrafluoride </t>
  </si>
  <si>
    <t>Chloromethane </t>
  </si>
  <si>
    <t>13 </t>
  </si>
  <si>
    <t>Ethane, 1,1,1,2,2-pentafluoro-2-methoxy- </t>
  </si>
  <si>
    <t>Ethane, 2-(difluoromethoxy)-1,1,1-trifluoro- </t>
  </si>
  <si>
    <t>Ethyl nonafluorobutyl ether </t>
  </si>
  <si>
    <t>59 </t>
  </si>
  <si>
    <t>HCFC-123 </t>
  </si>
  <si>
    <t>HCFC-124 </t>
  </si>
  <si>
    <t>HCFC-141b </t>
  </si>
  <si>
    <t>HCFC-142b </t>
  </si>
  <si>
    <t>HCFC-22 </t>
  </si>
  <si>
    <t>HCFC-225ca </t>
  </si>
  <si>
    <t>122 </t>
  </si>
  <si>
    <t>HCFC-225cb </t>
  </si>
  <si>
    <t>HFC-125 </t>
  </si>
  <si>
    <t>HFC-134a </t>
  </si>
  <si>
    <t>HFC-143a </t>
  </si>
  <si>
    <t>HFC-152a </t>
  </si>
  <si>
    <t>HFC-227ea </t>
  </si>
  <si>
    <t>HFC-23 </t>
  </si>
  <si>
    <t>HFC-236fa </t>
  </si>
  <si>
    <t>HFC-245fa </t>
  </si>
  <si>
    <t>HFC-32 </t>
  </si>
  <si>
    <t>HFC-365mfc </t>
  </si>
  <si>
    <t>HFC-4310mee </t>
  </si>
  <si>
    <t>HFE-338pcc13 (HG-01) </t>
  </si>
  <si>
    <t>HFE-347pcf2 </t>
  </si>
  <si>
    <t>580 </t>
  </si>
  <si>
    <t>HFE-356pcc3 </t>
  </si>
  <si>
    <t>HG-30 </t>
  </si>
  <si>
    <t>Halon 1211 </t>
  </si>
  <si>
    <t>Halon 1301 </t>
  </si>
  <si>
    <t>Hexafluoroethane </t>
  </si>
  <si>
    <t>Isoflurane </t>
  </si>
  <si>
    <t>Methane </t>
  </si>
  <si>
    <t>Methane, (difluoromethoxy)trifluoro- </t>
  </si>
  <si>
    <t>Methane, bis(difluoromethoxy)difluoro- </t>
  </si>
  <si>
    <t>Methane, oxybis[difluoro- </t>
  </si>
  <si>
    <t>Methane, trifluoromethoxy- </t>
  </si>
  <si>
    <t>Methyl bromide </t>
  </si>
  <si>
    <t>Methylene chloride </t>
  </si>
  <si>
    <t>Nitrogen trifluoride </t>
  </si>
  <si>
    <t>Nitrous oxide </t>
  </si>
  <si>
    <t>Perfluorobutane </t>
  </si>
  <si>
    <t>Perfluorocyclobutane </t>
  </si>
  <si>
    <t>Perfluorodecalin </t>
  </si>
  <si>
    <t>Perfluorohexane </t>
  </si>
  <si>
    <t>Perfluoropentane </t>
  </si>
  <si>
    <t>Perfluoropropane </t>
  </si>
  <si>
    <t>Propane, 1,1,1,2,2,3,3-heptafluoro-3-methoxy- </t>
  </si>
  <si>
    <t>Sulfur hexafluoride </t>
  </si>
  <si>
    <t>Trifluoromethyl sulfur pentafluoride </t>
  </si>
  <si>
    <t>AR5-100 </t>
  </si>
  <si>
    <t>(E)-HFC-1225ye </t>
  </si>
  <si>
    <t>(Z)-1,1,1,4,4,4-Hexafluoro-2-butene </t>
  </si>
  <si>
    <t>2 </t>
  </si>
  <si>
    <t>1,1,1,3,3,3-Hexafluoro-2-propanol </t>
  </si>
  <si>
    <t>182 </t>
  </si>
  <si>
    <t>1,1,1,3,3,3-Hexafluoropropan-2-yl formate </t>
  </si>
  <si>
    <t>333 </t>
  </si>
  <si>
    <t>160 </t>
  </si>
  <si>
    <t>301 </t>
  </si>
  <si>
    <t>1,1,2,2-Tetrafluoro-3-methoxy-propane </t>
  </si>
  <si>
    <t>1,1,2-Trifluoro-2-(trifluoromethoxy)-ethane </t>
  </si>
  <si>
    <t>1240 </t>
  </si>
  <si>
    <t>1,1,3,3,4,4,6,6,7,7,9,9,10,10,12,12,13,13,15,15-eicosafluoro-2,5,8,11,14-Pentaoxapentadecane </t>
  </si>
  <si>
    <t>3630 </t>
  </si>
  <si>
    <t>1,1-Difluoroethyl 2,2,2-trifluoroacetate </t>
  </si>
  <si>
    <t>31 </t>
  </si>
  <si>
    <t>1,1-Difluoroethyl carbonofluoridate </t>
  </si>
  <si>
    <t>27 </t>
  </si>
  <si>
    <t>1,2,2,2-Tetrafluoroethyl formate </t>
  </si>
  <si>
    <t>470 </t>
  </si>
  <si>
    <t>1470 </t>
  </si>
  <si>
    <t>1,2-Dichloroethane </t>
  </si>
  <si>
    <t>1-Butanol, 2,2,3,3,4,4,4-heptafluoro- </t>
  </si>
  <si>
    <t>34 </t>
  </si>
  <si>
    <t>16 </t>
  </si>
  <si>
    <t>1-Ethoxy-1,1,2,2,3,3,3-heptafluoropropane </t>
  </si>
  <si>
    <t>61 </t>
  </si>
  <si>
    <t>1-Ethoxy-1,1,2,3,3,3-hexafluoropropane </t>
  </si>
  <si>
    <t>23 </t>
  </si>
  <si>
    <t>1-Hexene, 3,3,4,4,5,5,6,6,6-nonafluoro- </t>
  </si>
  <si>
    <t>1-Octene, 3,3,4,4,5,5,6,6,7,7,8,8,8-tridecafluoro- </t>
  </si>
  <si>
    <t>1-Propanol, 2,2,3,3,3-pentafluoro- </t>
  </si>
  <si>
    <t>19 </t>
  </si>
  <si>
    <t>1-Propanol, 2,2,3,3-tetrafluoro- </t>
  </si>
  <si>
    <t>1-Propene, 1,2,3,3,3-pentafluoro-, (1Z)- </t>
  </si>
  <si>
    <t>1-Propene, 1,3,3,3-tetrafluoro-, (1Z)- </t>
  </si>
  <si>
    <t>1-Propene, 1-chloro-3,3,3-trifluoro-, (1E)- </t>
  </si>
  <si>
    <t>1-Propene, 2,3,3,3-tetrafluoro- </t>
  </si>
  <si>
    <t>1H,1H,3H-Perfluorobutanol </t>
  </si>
  <si>
    <t>17 </t>
  </si>
  <si>
    <t>1H-Heptafluoropropane </t>
  </si>
  <si>
    <t>2640 </t>
  </si>
  <si>
    <t>2,2,2-Trifluoroethanol </t>
  </si>
  <si>
    <t>20 </t>
  </si>
  <si>
    <t>2,2,2-Trifluoroethyl 2,2,2-trifluoroacetate </t>
  </si>
  <si>
    <t>7 </t>
  </si>
  <si>
    <t>2,2,2-Trifluoroethyl formate </t>
  </si>
  <si>
    <t>33 </t>
  </si>
  <si>
    <t>2,2,2-Trifluoroethyl trifluoromethyl ether </t>
  </si>
  <si>
    <t>979 </t>
  </si>
  <si>
    <t>2,2-Difluoroethanol </t>
  </si>
  <si>
    <t>3 </t>
  </si>
  <si>
    <t>2-Bromo-1,1,1,2-tetrafluoroethane </t>
  </si>
  <si>
    <t>184 </t>
  </si>
  <si>
    <t>2-Bromo-1,1,1-trifluoroethane </t>
  </si>
  <si>
    <t>173 </t>
  </si>
  <si>
    <t>2-Chloro-1,1,2-trifluoro-1-methoxyethane </t>
  </si>
  <si>
    <t>2-Ethoxy-3,3,4,4,5-pentafluorotetrahydro-2,5-bis[1,2,2,2-tetrafluoro-1-(trifluoromethyl)ethyl]-furan </t>
  </si>
  <si>
    <t>56 </t>
  </si>
  <si>
    <t>2-Fluoroethanol </t>
  </si>
  <si>
    <t>3,3,3-Trifluoro-1-propene </t>
  </si>
  <si>
    <t>3,3,3-Trifluoropropan-1-ol </t>
  </si>
  <si>
    <t>3,3,3-Trifluoropropyl formate </t>
  </si>
  <si>
    <t>3,3,4,4,5,5,6,6,7,7,7-Undecafluoroheptan-1-ol </t>
  </si>
  <si>
    <t>3,3,4,4,5,5,6,6,7,7,8,8,9,9,10,10,11,11,11-Nonadecafluoroundecan-1-ol </t>
  </si>
  <si>
    <t>3,3,4,4,5,5,6,6,7,7,8,8,9,9,9-Pentadecafluorononan-1-ol </t>
  </si>
  <si>
    <t>3-Pentanone, 1,1,1,2,2,4,5,5,5-nonafluoro-4-(trifluoromethyl)- </t>
  </si>
  <si>
    <t>4,4,4-Trifluorobutan-1-ol </t>
  </si>
  <si>
    <t>Acetic acid, trifluoro-, methyl ester </t>
  </si>
  <si>
    <t>52 </t>
  </si>
  <si>
    <t>Bromodifluoromethane </t>
  </si>
  <si>
    <t>376 </t>
  </si>
  <si>
    <t>421 </t>
  </si>
  <si>
    <t>4660 </t>
  </si>
  <si>
    <t>5820 </t>
  </si>
  <si>
    <t>8590 </t>
  </si>
  <si>
    <t>7670 </t>
  </si>
  <si>
    <t>10200 </t>
  </si>
  <si>
    <t>13900 </t>
  </si>
  <si>
    <t>1730 </t>
  </si>
  <si>
    <t>6630 </t>
  </si>
  <si>
    <t>Chlorofluorocarbons </t>
  </si>
  <si>
    <t>0 </t>
  </si>
  <si>
    <t>Chloroform </t>
  </si>
  <si>
    <t>12 </t>
  </si>
  <si>
    <t>Dibromodifluoromethane </t>
  </si>
  <si>
    <t>231 </t>
  </si>
  <si>
    <t>Dibromomethane </t>
  </si>
  <si>
    <t>Difluoro(fluoromethoxy)methane </t>
  </si>
  <si>
    <t>751 </t>
  </si>
  <si>
    <t>Difluoro(methoxy)methane </t>
  </si>
  <si>
    <t>144 </t>
  </si>
  <si>
    <t>Difluoromethyl 2,2,2-trifluoroacetate </t>
  </si>
  <si>
    <t>Dimethyldifluoromethane </t>
  </si>
  <si>
    <t>Enflurane </t>
  </si>
  <si>
    <t>583 </t>
  </si>
  <si>
    <t>Ethane, (trifluoromethoxy)- </t>
  </si>
  <si>
    <t>29 </t>
  </si>
  <si>
    <t>654 </t>
  </si>
  <si>
    <t>Ethane, 1,1,1,2-tetrafluoro-2-(trifluoromethoxy)- </t>
  </si>
  <si>
    <t>6450 </t>
  </si>
  <si>
    <t>Ethane, 1,1,1-trifluoro-2-methoxy- </t>
  </si>
  <si>
    <t>Ethane, 1,1,2,2-tetrafluoro-1-(fluoromethoxy)- </t>
  </si>
  <si>
    <t>871 </t>
  </si>
  <si>
    <t>Ethane, 1,1-dichloro-1,2-difluoro- </t>
  </si>
  <si>
    <t>338 </t>
  </si>
  <si>
    <t>Ethane, 1,1-difluoro-2-(trifluoromethoxy)- </t>
  </si>
  <si>
    <t>828 </t>
  </si>
  <si>
    <t>Ethane, 1-(difluoromethoxy)-1,1,2,2-tetrafluoro- </t>
  </si>
  <si>
    <t>4240 </t>
  </si>
  <si>
    <t>Ethane, 1-ethoxy-1,1,2,2-tetrafluoro- </t>
  </si>
  <si>
    <t>627 </t>
  </si>
  <si>
    <t>Ethane, 2-(difluoromethoxy)-1,1,1,2-tetrafluoro-, (+-)- </t>
  </si>
  <si>
    <t>1790 </t>
  </si>
  <si>
    <t>812 </t>
  </si>
  <si>
    <t>Ethene, (2,2,2-trifluoroethoxy)- </t>
  </si>
  <si>
    <t>57 </t>
  </si>
  <si>
    <t>Ethyl trifluoroacetate </t>
  </si>
  <si>
    <t>Fluoro(fluoromethoxy)methane </t>
  </si>
  <si>
    <t>617 </t>
  </si>
  <si>
    <t>Fluoro(methoxy)methane </t>
  </si>
  <si>
    <t>130 </t>
  </si>
  <si>
    <t>HCFC-122 </t>
  </si>
  <si>
    <t>HCFC-122a </t>
  </si>
  <si>
    <t>258 </t>
  </si>
  <si>
    <t>79 </t>
  </si>
  <si>
    <t>HCFC-123a </t>
  </si>
  <si>
    <t>370 </t>
  </si>
  <si>
    <t>527 </t>
  </si>
  <si>
    <t>782 </t>
  </si>
  <si>
    <t>1980 </t>
  </si>
  <si>
    <t>HCFC-21 </t>
  </si>
  <si>
    <t>148 </t>
  </si>
  <si>
    <t>1760 </t>
  </si>
  <si>
    <t>127 </t>
  </si>
  <si>
    <t>525 </t>
  </si>
  <si>
    <t>HFC-1234ze(E) </t>
  </si>
  <si>
    <t>3170 </t>
  </si>
  <si>
    <t>HFC-134 </t>
  </si>
  <si>
    <t>1120 </t>
  </si>
  <si>
    <t>HFC-1345zfc </t>
  </si>
  <si>
    <t>1300 </t>
  </si>
  <si>
    <t>HFC-143 </t>
  </si>
  <si>
    <t>328 </t>
  </si>
  <si>
    <t>4800 </t>
  </si>
  <si>
    <t>HFC-152 </t>
  </si>
  <si>
    <t>138 </t>
  </si>
  <si>
    <t>HFC-161 </t>
  </si>
  <si>
    <t>4 </t>
  </si>
  <si>
    <t>3350 </t>
  </si>
  <si>
    <t>12400 </t>
  </si>
  <si>
    <t>HFC-236cb </t>
  </si>
  <si>
    <t>1210 </t>
  </si>
  <si>
    <t>HFC-236ea </t>
  </si>
  <si>
    <t>1330 </t>
  </si>
  <si>
    <t>8060 </t>
  </si>
  <si>
    <t>HFC-245ca </t>
  </si>
  <si>
    <t>716 </t>
  </si>
  <si>
    <t>HFC-245cb </t>
  </si>
  <si>
    <t>4620 </t>
  </si>
  <si>
    <t>HFC-245ea </t>
  </si>
  <si>
    <t>235 </t>
  </si>
  <si>
    <t>HFC-245eb </t>
  </si>
  <si>
    <t>290 </t>
  </si>
  <si>
    <t>858 </t>
  </si>
  <si>
    <t>677 </t>
  </si>
  <si>
    <t>HFC-329p </t>
  </si>
  <si>
    <t>2360 </t>
  </si>
  <si>
    <t>804 </t>
  </si>
  <si>
    <t>HFC-41 </t>
  </si>
  <si>
    <t>116 </t>
  </si>
  <si>
    <t>1650 </t>
  </si>
  <si>
    <t>HFE-329mcc2 </t>
  </si>
  <si>
    <t>3070 </t>
  </si>
  <si>
    <t>HFE-329me3 </t>
  </si>
  <si>
    <t>4550 </t>
  </si>
  <si>
    <t>HFE-338mcf2 </t>
  </si>
  <si>
    <t>929 </t>
  </si>
  <si>
    <t>HFE-338mmz1 </t>
  </si>
  <si>
    <t>2620 </t>
  </si>
  <si>
    <t>2910 </t>
  </si>
  <si>
    <t>HFE-347mcf2 </t>
  </si>
  <si>
    <t>854 </t>
  </si>
  <si>
    <t>HFE-347mmy1 </t>
  </si>
  <si>
    <t>363 </t>
  </si>
  <si>
    <t>889 </t>
  </si>
  <si>
    <t>HFE-356mec3 </t>
  </si>
  <si>
    <t>387 </t>
  </si>
  <si>
    <t>HFE-356mff2 </t>
  </si>
  <si>
    <t>HFE-356mmz1 </t>
  </si>
  <si>
    <t>14 </t>
  </si>
  <si>
    <t>413 </t>
  </si>
  <si>
    <t>HFE-356pcf2 </t>
  </si>
  <si>
    <t>719 </t>
  </si>
  <si>
    <t>HFE-356pcf3 </t>
  </si>
  <si>
    <t>446 </t>
  </si>
  <si>
    <t>HFE-365mcf2 </t>
  </si>
  <si>
    <t>58 </t>
  </si>
  <si>
    <t>HFE-365mcf3 </t>
  </si>
  <si>
    <t>HG'-02 </t>
  </si>
  <si>
    <t>236 </t>
  </si>
  <si>
    <t>HG'-03 </t>
  </si>
  <si>
    <t>221 </t>
  </si>
  <si>
    <t>HG-02 </t>
  </si>
  <si>
    <t>2730 </t>
  </si>
  <si>
    <t>4920 </t>
  </si>
  <si>
    <t>HG-03 </t>
  </si>
  <si>
    <t>2850 </t>
  </si>
  <si>
    <t>4490 </t>
  </si>
  <si>
    <t>HG-20 </t>
  </si>
  <si>
    <t>5300 </t>
  </si>
  <si>
    <t>HG-21 </t>
  </si>
  <si>
    <t>3890 </t>
  </si>
  <si>
    <t>2820 </t>
  </si>
  <si>
    <t>7330 </t>
  </si>
  <si>
    <t>1750 </t>
  </si>
  <si>
    <t>6290 </t>
  </si>
  <si>
    <t>Halothane </t>
  </si>
  <si>
    <t>41 </t>
  </si>
  <si>
    <t>Hexafluoro-1,3-butadiene </t>
  </si>
  <si>
    <t>11100 </t>
  </si>
  <si>
    <t>Hexafluoropropene </t>
  </si>
  <si>
    <t>Hydrochlorofluorocarbons </t>
  </si>
  <si>
    <t>Hydrofluorocarbons </t>
  </si>
  <si>
    <t>491 </t>
  </si>
  <si>
    <t>28 </t>
  </si>
  <si>
    <t>5350 </t>
  </si>
  <si>
    <t>5560 </t>
  </si>
  <si>
    <t>523 </t>
  </si>
  <si>
    <t>Methyl 2,2-difluoroacetate </t>
  </si>
  <si>
    <t>Methyl carbonofluoridate </t>
  </si>
  <si>
    <t>95 </t>
  </si>
  <si>
    <t>9 </t>
  </si>
  <si>
    <t>16100 </t>
  </si>
  <si>
    <t>265 </t>
  </si>
  <si>
    <t>Octafluorocyclopentene </t>
  </si>
  <si>
    <t>Octane, octadecafluoro- </t>
  </si>
  <si>
    <t>7620 </t>
  </si>
  <si>
    <t>Perfluorobut-1-ene </t>
  </si>
  <si>
    <t>Perfluorobut-2-ene </t>
  </si>
  <si>
    <t>9200 </t>
  </si>
  <si>
    <t>Perfluorobutyl acetate </t>
  </si>
  <si>
    <t>Perfluorobutyl formate </t>
  </si>
  <si>
    <t>392 </t>
  </si>
  <si>
    <t>9540 </t>
  </si>
  <si>
    <t>7190 </t>
  </si>
  <si>
    <t>Perfluorodecalin (cis) </t>
  </si>
  <si>
    <t>7240 </t>
  </si>
  <si>
    <t>Perfluorodecalin (trans) </t>
  </si>
  <si>
    <t>Perfluoroethyl acetate </t>
  </si>
  <si>
    <t>Perfluoroethyl formate </t>
  </si>
  <si>
    <t>Perfluoroheptane </t>
  </si>
  <si>
    <t>7820 </t>
  </si>
  <si>
    <t>7910 </t>
  </si>
  <si>
    <t>8550 </t>
  </si>
  <si>
    <t>8900 </t>
  </si>
  <si>
    <t>Perfluoropropyl acetate </t>
  </si>
  <si>
    <t>Perfluoropropyl formate </t>
  </si>
  <si>
    <t>Propanal, 3,3,3-trifluoro- </t>
  </si>
  <si>
    <t>Propane, 1,1,1,2,2,3,3-heptafluoro-3-(1,2,2,2-tetrafluoroethoxy)- </t>
  </si>
  <si>
    <t>6490 </t>
  </si>
  <si>
    <t>530 </t>
  </si>
  <si>
    <t>Propane, 1,1,1-trifluoro- </t>
  </si>
  <si>
    <t>76 </t>
  </si>
  <si>
    <t>Sevoflurane </t>
  </si>
  <si>
    <t>216 </t>
  </si>
  <si>
    <t>23500 </t>
  </si>
  <si>
    <t>Sulfuryl fluoride </t>
  </si>
  <si>
    <t>4090 </t>
  </si>
  <si>
    <t>Tetrafluoroethene </t>
  </si>
  <si>
    <t>Trifluoro(fluoromethoxy)methane </t>
  </si>
  <si>
    <t>222 </t>
  </si>
  <si>
    <t>Trifluoro(trifluoromethoxy)ethylene </t>
  </si>
  <si>
    <t>Trifluoromethyl acetate </t>
  </si>
  <si>
    <t>Trifluoromethyl formate </t>
  </si>
  <si>
    <t>588 </t>
  </si>
  <si>
    <t>17400 </t>
  </si>
  <si>
    <t>Vinyl fluoride </t>
  </si>
  <si>
    <t>Vinylidene fluoride </t>
  </si>
  <si>
    <t>Process</t>
  </si>
  <si>
    <t>Landfill</t>
  </si>
  <si>
    <t>Recycle</t>
  </si>
  <si>
    <t>Incineration</t>
  </si>
  <si>
    <t>Leakage/Residual</t>
  </si>
  <si>
    <t>Facilities</t>
  </si>
  <si>
    <t>Refrigerated Storage</t>
  </si>
  <si>
    <t>Non-refrigerated Storage</t>
  </si>
  <si>
    <t>Data Centres(proposed only)</t>
  </si>
  <si>
    <t>Dry Warehouse</t>
  </si>
  <si>
    <t>Usage Types</t>
  </si>
  <si>
    <t>Charging</t>
  </si>
  <si>
    <t>Consumption:Gasoline/Petrol</t>
  </si>
  <si>
    <t>Consumption:Diesel</t>
  </si>
  <si>
    <t>Leakages</t>
  </si>
  <si>
    <t>Disassembly by Industry</t>
  </si>
  <si>
    <t>Electronics</t>
  </si>
  <si>
    <t>Automative</t>
  </si>
  <si>
    <t>Semi-conductors</t>
  </si>
  <si>
    <t>Plastic appliances</t>
  </si>
  <si>
    <t>Machine Process</t>
  </si>
  <si>
    <t>CNC Milling</t>
  </si>
  <si>
    <t>CNC Turning</t>
  </si>
  <si>
    <t>CNC Drilling/Boring</t>
  </si>
  <si>
    <t>CNC Grinding</t>
  </si>
  <si>
    <t>CNC Multi-purpose 5-axis</t>
  </si>
  <si>
    <t>Friction Welding</t>
  </si>
  <si>
    <t>Laser Cutting</t>
  </si>
  <si>
    <t>Wire Cutting</t>
  </si>
  <si>
    <t>Machine Model</t>
  </si>
  <si>
    <t>Main Spindle (kW)</t>
  </si>
  <si>
    <t>Sub Spindle (kW)</t>
  </si>
  <si>
    <t>T11</t>
  </si>
  <si>
    <t>-</t>
  </si>
  <si>
    <t>T13</t>
  </si>
  <si>
    <t>NXV560A-APC</t>
  </si>
  <si>
    <t>NXV600A</t>
  </si>
  <si>
    <t>NXV1020A</t>
  </si>
  <si>
    <t>NXV1020AM</t>
  </si>
  <si>
    <t>NXV1270A</t>
  </si>
  <si>
    <t>NXV1380A</t>
  </si>
  <si>
    <t>NXV1680A</t>
  </si>
  <si>
    <t>NSV1680B</t>
  </si>
  <si>
    <t>NMV76A</t>
  </si>
  <si>
    <t>NMV106A</t>
  </si>
  <si>
    <t>NSV66A</t>
  </si>
  <si>
    <t>NSV66AM</t>
  </si>
  <si>
    <t>NSV106A</t>
  </si>
  <si>
    <t>NSV106AM</t>
  </si>
  <si>
    <t>NSV106AS</t>
  </si>
  <si>
    <t>37</t>
  </si>
  <si>
    <t>NSV106AMS</t>
  </si>
  <si>
    <t>NSV156A</t>
  </si>
  <si>
    <t>NFX400A</t>
  </si>
  <si>
    <t>NTV158A</t>
  </si>
  <si>
    <t>NTV 158B</t>
  </si>
  <si>
    <t>TCV 2000A</t>
  </si>
  <si>
    <t>22</t>
  </si>
  <si>
    <t>TCV 3000A</t>
  </si>
  <si>
    <t>TCV 3000A-5AX</t>
  </si>
  <si>
    <t>TV116B</t>
  </si>
  <si>
    <t>TV116B-APC</t>
  </si>
  <si>
    <t>TV146B</t>
  </si>
  <si>
    <t>TV158B</t>
  </si>
  <si>
    <t>TV188B</t>
  </si>
  <si>
    <t>TV2110B</t>
  </si>
  <si>
    <t>TV2610B</t>
  </si>
  <si>
    <t>FV102A-APC</t>
  </si>
  <si>
    <t>15</t>
  </si>
  <si>
    <t>FV56T</t>
  </si>
  <si>
    <t>3.7</t>
  </si>
  <si>
    <t>E5</t>
  </si>
  <si>
    <t>D3016</t>
  </si>
  <si>
    <t>DCV2012A</t>
  </si>
  <si>
    <t>DCV2012B</t>
  </si>
  <si>
    <t>DCV2018A-5AX</t>
  </si>
  <si>
    <t>DCV3016B</t>
  </si>
  <si>
    <t>DCV3018-5AX</t>
  </si>
  <si>
    <t>DCV3021B</t>
  </si>
  <si>
    <t>DCV3025B</t>
  </si>
  <si>
    <t>DCV4016B</t>
  </si>
  <si>
    <t>DCV4018A-5AX</t>
  </si>
  <si>
    <t>DCV4021B</t>
  </si>
  <si>
    <t>DCV4025B</t>
  </si>
  <si>
    <t>DCV4030B-5AF</t>
  </si>
  <si>
    <t>DCV4030B-5AX</t>
  </si>
  <si>
    <t>DCV4035B</t>
  </si>
  <si>
    <t>DCV5021B</t>
  </si>
  <si>
    <t>DCV5025B</t>
  </si>
  <si>
    <t>DCV5030B</t>
  </si>
  <si>
    <t>DCV5030B-5AX</t>
  </si>
  <si>
    <t>DCV6030B-5AX</t>
  </si>
  <si>
    <t>DCV6035B</t>
  </si>
  <si>
    <t>NDC2016B</t>
  </si>
  <si>
    <t>NDC2018B-AHC</t>
  </si>
  <si>
    <t>35</t>
  </si>
  <si>
    <t>NDC3016B</t>
  </si>
  <si>
    <t>NDC3018B-AHC</t>
  </si>
  <si>
    <t>NDC3022B</t>
  </si>
  <si>
    <t>NDC4016B</t>
  </si>
  <si>
    <t>NDC4018B-AHC</t>
  </si>
  <si>
    <t>NDC4022B</t>
  </si>
  <si>
    <t>NDC4022B-AHC</t>
  </si>
  <si>
    <t>NFP66A</t>
  </si>
  <si>
    <t>FP66A</t>
  </si>
  <si>
    <t>FP100A</t>
  </si>
  <si>
    <t>NH500A</t>
  </si>
  <si>
    <t>NH630B</t>
  </si>
  <si>
    <t>NH800B</t>
  </si>
  <si>
    <t>GT-200B</t>
  </si>
  <si>
    <t>GT-250B</t>
  </si>
  <si>
    <t>GT-300B</t>
  </si>
  <si>
    <t>GT-200MA</t>
  </si>
  <si>
    <t>GT-250MA</t>
  </si>
  <si>
    <t>GT-300LMB</t>
  </si>
  <si>
    <t>TC-16LA</t>
  </si>
  <si>
    <t>TC-16LB</t>
  </si>
  <si>
    <t>TC-26</t>
  </si>
  <si>
    <t>TC-36</t>
  </si>
  <si>
    <t>TC-46/1000</t>
  </si>
  <si>
    <t>TC-46/1650</t>
  </si>
  <si>
    <t>TC-46/2300</t>
  </si>
  <si>
    <t>TC-46/3200</t>
  </si>
  <si>
    <t>TC-46M/3200</t>
  </si>
  <si>
    <t>NTC-2000LY</t>
  </si>
  <si>
    <t>NTC-2000LSY</t>
  </si>
  <si>
    <t>NT-2500SY</t>
  </si>
  <si>
    <t>UV650</t>
  </si>
  <si>
    <t>DCV3018A-5AX</t>
  </si>
  <si>
    <t>TCV3000A-5AX</t>
  </si>
  <si>
    <t>DPG-150</t>
  </si>
  <si>
    <t>GLS-150GL UP</t>
  </si>
  <si>
    <t>GLS-80PL</t>
  </si>
  <si>
    <t>3</t>
  </si>
  <si>
    <t xml:space="preserve">GLS-150GL  </t>
  </si>
  <si>
    <t>DV-1</t>
  </si>
  <si>
    <t>WINSTAR-SP</t>
  </si>
  <si>
    <t xml:space="preserve">WINSTAR </t>
  </si>
  <si>
    <t>MEISTER-G3 UP</t>
  </si>
  <si>
    <t>MEISTER-G3/V3</t>
  </si>
  <si>
    <t>2.2</t>
  </si>
  <si>
    <t>TF-M1</t>
  </si>
  <si>
    <t>TECHSTER 52</t>
  </si>
  <si>
    <t>TECHSTER 64</t>
  </si>
  <si>
    <t xml:space="preserve">TECHSTER 84 </t>
  </si>
  <si>
    <t>TECHSTER 104</t>
  </si>
  <si>
    <t>TECHSTER 106</t>
  </si>
  <si>
    <t>TECHSTER 126</t>
  </si>
  <si>
    <t>SSR-5/SSR-6</t>
  </si>
  <si>
    <t>Second Spindle (kW)</t>
  </si>
  <si>
    <t>VARIAXIS i-300 AWC</t>
  </si>
  <si>
    <t>DUAL TURN 200</t>
  </si>
  <si>
    <t>FF-400V/30 L</t>
  </si>
  <si>
    <t>FF-1250H</t>
  </si>
  <si>
    <t>Main (kW)</t>
  </si>
  <si>
    <t>Secondary Spindle (kW)</t>
  </si>
  <si>
    <t>Third Spindle (kW)</t>
  </si>
  <si>
    <t>INTEGREX i-100 NEO</t>
  </si>
  <si>
    <t>INTEGREX i-100S NEO</t>
  </si>
  <si>
    <t>INTEGREX i-100ST NEO</t>
  </si>
  <si>
    <t>INTEGREX i-200 NEO</t>
  </si>
  <si>
    <t>INTEGREX i-200S NEO</t>
  </si>
  <si>
    <t>INTEGREX i-200ST NEO</t>
  </si>
  <si>
    <t>INTEGREX i-250 NEO</t>
  </si>
  <si>
    <t>INTEGREX i-250S NEO</t>
  </si>
  <si>
    <t>INTEGREX i-250ST NEO</t>
  </si>
  <si>
    <t>INTEGREX i-350 NEO</t>
  </si>
  <si>
    <t>INTEGREX i-350S NEO</t>
  </si>
  <si>
    <t>INTEGREX i-350ST NEO</t>
  </si>
  <si>
    <t>INTEGREX i-450 NEO</t>
  </si>
  <si>
    <t>INTEGREX i-450S NEO</t>
  </si>
  <si>
    <t>INTEGREX i-450ST NEO</t>
  </si>
  <si>
    <t>INTEGREX i-100H</t>
  </si>
  <si>
    <t>INTEGREX i-100H S</t>
  </si>
  <si>
    <t>INTEGREX i-100H ST</t>
  </si>
  <si>
    <t>INTEGREX i-200H</t>
  </si>
  <si>
    <t>INTEGREX i-200H S</t>
  </si>
  <si>
    <t>INTEGREX i-200H ST</t>
  </si>
  <si>
    <t>INTEGREX i-250H</t>
  </si>
  <si>
    <t>INTEGREX i-250H S</t>
  </si>
  <si>
    <t>INTEGREX i-250H ST</t>
  </si>
  <si>
    <t>INTEGREX i-350H</t>
  </si>
  <si>
    <t>INTEGREX i-350H S</t>
  </si>
  <si>
    <t>INTEGREX i-350H ST</t>
  </si>
  <si>
    <t>INTEGREX i-450H</t>
  </si>
  <si>
    <t>INTEGREX i-450H S</t>
  </si>
  <si>
    <t>INTEGREX i-450H ST</t>
  </si>
  <si>
    <t>INTEGREX i-150</t>
  </si>
  <si>
    <t>INTEGREX j-200</t>
  </si>
  <si>
    <t>INTEGREX j-200S</t>
  </si>
  <si>
    <t>INTEGREX j-300</t>
  </si>
  <si>
    <t>INTEGREX j-400</t>
  </si>
  <si>
    <t>INTEGREX j-200 NEO</t>
  </si>
  <si>
    <t>INTEGREX j-200 NEO (High Performance Spec)</t>
  </si>
  <si>
    <t>INTEGREX j-200S NEO</t>
  </si>
  <si>
    <t>INTEGREX j-200S NEO (High Performance Spec)</t>
  </si>
  <si>
    <t>INTEGREX i-500</t>
  </si>
  <si>
    <t>INTEGREX i-500S</t>
  </si>
  <si>
    <t>INTEGREX i-500ST</t>
  </si>
  <si>
    <t>INTEGREX e-500H</t>
  </si>
  <si>
    <t>INTEGREX e-500H-S</t>
  </si>
  <si>
    <t>INTEGREX e-670H</t>
  </si>
  <si>
    <t>INTEGREX e-670H-S</t>
  </si>
  <si>
    <t>INTEGREX e-800H</t>
  </si>
  <si>
    <t>INTEGREX i-500V/5</t>
  </si>
  <si>
    <t>INTEGREX i-630V/6</t>
  </si>
  <si>
    <t>INTEGREX i-630V/6S</t>
  </si>
  <si>
    <t>INTEGREX i-800V/8</t>
  </si>
  <si>
    <t>INTEGREX i-800V/8S</t>
  </si>
  <si>
    <t>INTEGREX e-1250V/8</t>
  </si>
  <si>
    <t>INTEGREX e-1250V/8S</t>
  </si>
  <si>
    <t>INTEGREX e-1600V/10</t>
  </si>
  <si>
    <t>INTEGREX e-1600V/10S</t>
  </si>
  <si>
    <t>INTEGREX e-1850V/12</t>
  </si>
  <si>
    <t>INTEGREX e-1850V/25S</t>
  </si>
  <si>
    <t>INTEGREX e-RAMTEC V/8</t>
  </si>
  <si>
    <t>INTEGREX e-RAMTEC V/10</t>
  </si>
  <si>
    <t>INTEGREX e-RAMTEC V/12</t>
  </si>
  <si>
    <t>INTEGREX i-250H AG</t>
  </si>
  <si>
    <t>INTEGREX i-250H S AG</t>
  </si>
  <si>
    <t>INTEGREX i-250H ST AG</t>
  </si>
  <si>
    <t>INTEGREX i-350H AG</t>
  </si>
  <si>
    <t>INTEGREX i-350H S AG</t>
  </si>
  <si>
    <t>INTEGREX i-350H ST AG</t>
  </si>
  <si>
    <t>INTEGREX i-450H AG</t>
  </si>
  <si>
    <t>INTEGREX i-450H S AG</t>
  </si>
  <si>
    <t>INTEGREX i-450H ST AG</t>
  </si>
  <si>
    <t>INTEGREX i-500 AG</t>
  </si>
  <si>
    <t>INTEGREX i-500S AG</t>
  </si>
  <si>
    <t>INTEGREX i-500ST AG</t>
  </si>
  <si>
    <t>INTEGREX i-630V/6 AG</t>
  </si>
  <si>
    <t>INTEGREX i-630V/6S AG</t>
  </si>
  <si>
    <t>INTEGREX e-1250V/8 AG</t>
  </si>
  <si>
    <t>INTEGREX e-1250V/8S AG</t>
  </si>
  <si>
    <t>INTEGREX e-1600V/10 AG</t>
  </si>
  <si>
    <t>INTEGREX e-1600V/10S AG</t>
  </si>
  <si>
    <t>VARIAXIS i-600 NEO</t>
  </si>
  <si>
    <t>VARIAXIS i-700 NEO</t>
  </si>
  <si>
    <t>VARIAXIS i-800 NEO</t>
  </si>
  <si>
    <t>VARIAXIS i-500</t>
  </si>
  <si>
    <t>VARIAXIS i-1050</t>
  </si>
  <si>
    <t>VARIAXIS i-700T</t>
  </si>
  <si>
    <t>VARIAXIS i-800T</t>
  </si>
  <si>
    <t>VARIAXIS i-1050T</t>
  </si>
  <si>
    <t>VARIAXIS C-600</t>
  </si>
  <si>
    <t>VARIAXIS C-700</t>
  </si>
  <si>
    <t>VARIAXIS j-500</t>
  </si>
  <si>
    <t>VARIAXIS j-500/5X</t>
  </si>
  <si>
    <t>VORTEX i-630V/6</t>
  </si>
  <si>
    <t>VORTEX i-630V/6S</t>
  </si>
  <si>
    <t>VORTEX i-800V/8</t>
  </si>
  <si>
    <t>VORTEX i-800V/8S</t>
  </si>
  <si>
    <t>VORTEX e-1250V/8</t>
  </si>
  <si>
    <t>VORTEX e-1250V/8S</t>
  </si>
  <si>
    <t>VORTEX e-1600V/10</t>
  </si>
  <si>
    <t>VORTEX e-1600V/10S</t>
  </si>
  <si>
    <t>VTC-800/30SR</t>
  </si>
  <si>
    <t>VTC-800/30SDR</t>
  </si>
  <si>
    <t>VORTEX 815/120-II</t>
  </si>
  <si>
    <t>VORTEX 1400/160-II</t>
  </si>
  <si>
    <t>VORTEX HORIZONTAL PROFILER 160</t>
  </si>
  <si>
    <t>VORTEX HORIZONTAL PROFILER 160 XP</t>
  </si>
  <si>
    <t>HCR-5000</t>
  </si>
  <si>
    <t>HCR-5000S</t>
  </si>
  <si>
    <t>UD-400/5X</t>
  </si>
  <si>
    <t>VERSATECH V-100N/160</t>
  </si>
  <si>
    <t>VERSATECH V-100N/200</t>
  </si>
  <si>
    <t>VERSATECH V-100N/240</t>
  </si>
  <si>
    <t>VERSATECH V-140N/280</t>
  </si>
  <si>
    <t>VERSATECH V-140N/360</t>
  </si>
  <si>
    <t>VERSATECH V-140N/440</t>
  </si>
  <si>
    <t>QUICK TURN 100MY</t>
  </si>
  <si>
    <t>QUICK TURN 100MS</t>
  </si>
  <si>
    <t>QUICK TURN 100MSY</t>
  </si>
  <si>
    <t>QUICK TURN 200</t>
  </si>
  <si>
    <t>QUICK TURN 200MA</t>
  </si>
  <si>
    <t>QUICK TURN 200MB</t>
  </si>
  <si>
    <t>QUICK TURN 200MY</t>
  </si>
  <si>
    <t>QUICK TURN 200MSY</t>
  </si>
  <si>
    <t>QUICK TURN 250</t>
  </si>
  <si>
    <t>QUICK TURN 250MA</t>
  </si>
  <si>
    <t>QUICK TURN 250MB</t>
  </si>
  <si>
    <t>QUICK TURN 250MY</t>
  </si>
  <si>
    <t>QUICK TURN 250MSY</t>
  </si>
  <si>
    <t>QUICK TURN 300 L</t>
  </si>
  <si>
    <t>QUICK TURN 300</t>
  </si>
  <si>
    <t>QUICK TURN 300MA L</t>
  </si>
  <si>
    <t>QUICK TURN 300MA</t>
  </si>
  <si>
    <t>QUICK TURN 300MB</t>
  </si>
  <si>
    <t>QUICK TURN 300MY</t>
  </si>
  <si>
    <t>QUICK TURN 350 L</t>
  </si>
  <si>
    <t>QUICK TURN 350</t>
  </si>
  <si>
    <t>QUICK TURN 350MA L</t>
  </si>
  <si>
    <t>QUICK TURN 350MA</t>
  </si>
  <si>
    <t>QUICK TURN 350MB</t>
  </si>
  <si>
    <t>QUICK TURN 350MY</t>
  </si>
  <si>
    <t>QUICK TURN 400 L</t>
  </si>
  <si>
    <t>QUICK TURN 400</t>
  </si>
  <si>
    <t>QUICK TURN 400M L</t>
  </si>
  <si>
    <t>QUICK TURN 400M</t>
  </si>
  <si>
    <t>QUICK TURN 450 L</t>
  </si>
  <si>
    <t>QUICK TURN 450</t>
  </si>
  <si>
    <t>QUICK TURN 450M L</t>
  </si>
  <si>
    <t>QUICK TURN 450M</t>
  </si>
  <si>
    <t>QTE-100 SG</t>
  </si>
  <si>
    <t>QTE-100M SG</t>
  </si>
  <si>
    <t>QTE-100MY SG</t>
  </si>
  <si>
    <t>QTE-100MS SG</t>
  </si>
  <si>
    <t>QTE-100MSY SG</t>
  </si>
  <si>
    <t>QTE-200 SG</t>
  </si>
  <si>
    <t>QTE-200M SG</t>
  </si>
  <si>
    <t>QTE-200MY SG</t>
  </si>
  <si>
    <t>QTE-200MS SG</t>
  </si>
  <si>
    <t>QTE-200MSY SG</t>
  </si>
  <si>
    <t>QTE-300 SG</t>
  </si>
  <si>
    <t>QTE-300M SG</t>
  </si>
  <si>
    <t>QTE-300MY SG</t>
  </si>
  <si>
    <t>QTE-300MS SG</t>
  </si>
  <si>
    <t>QTE-300MSY SG</t>
  </si>
  <si>
    <t>QT-PRIMOS 50 SG</t>
  </si>
  <si>
    <t>Data not found</t>
  </si>
  <si>
    <t>QT-PRIMOS 100 SG</t>
  </si>
  <si>
    <t>QT-PRIMOS 150 SG</t>
  </si>
  <si>
    <t>SLANT TURN 500</t>
  </si>
  <si>
    <t>SLANT TURN 500M</t>
  </si>
  <si>
    <t>SLANT TURN 550</t>
  </si>
  <si>
    <t>SLANT TURN 550M</t>
  </si>
  <si>
    <t>SLANT TURN 600</t>
  </si>
  <si>
    <t>SLANT TURN 600M</t>
  </si>
  <si>
    <t>QRX-50MSY SG</t>
  </si>
  <si>
    <t>QRX-50MY SG</t>
  </si>
  <si>
    <t>TURNING CENTER M-5</t>
  </si>
  <si>
    <t>POWER MASTER Chucker</t>
  </si>
  <si>
    <t>POWER MASTER Universal</t>
  </si>
  <si>
    <t>MULTIPLEX W-200</t>
  </si>
  <si>
    <t>MULTIPLEX W-200Y</t>
  </si>
  <si>
    <t>MULTIPLEX W-300</t>
  </si>
  <si>
    <t>MULTIPLEX W-300Y</t>
  </si>
  <si>
    <t>HQR-200/3 NEO</t>
  </si>
  <si>
    <t>HQR-250/3 NEO</t>
  </si>
  <si>
    <t>HQR-100MSY</t>
  </si>
  <si>
    <t>HQR-150MSY</t>
  </si>
  <si>
    <t>HQR-200MSY</t>
  </si>
  <si>
    <t>HQR-250MSY</t>
  </si>
  <si>
    <t>MEGA TURN 400 L</t>
  </si>
  <si>
    <t>MEGA TURN 500 L/MEGA TURN 500S L</t>
  </si>
  <si>
    <t>MEGA TURN 500M L/MEGA TURN 500MS L</t>
  </si>
  <si>
    <t>MEGA TURN 600 L/MEGA TURN 600S L</t>
  </si>
  <si>
    <t>MEGA TURN 600M L/MEGA TURN 600MS L</t>
  </si>
  <si>
    <t>MEGA TURN 900 L/MEGA TURN 900S L</t>
  </si>
  <si>
    <t>MEGA TURN 900M L/MEGA TURN 900MS L</t>
  </si>
  <si>
    <t>MEGA TURN 1600</t>
  </si>
  <si>
    <t>MEGA TURN 1600 M</t>
  </si>
  <si>
    <t>VCN-430A L</t>
  </si>
  <si>
    <t>VCN-430B L</t>
  </si>
  <si>
    <t>VCN-530C L</t>
  </si>
  <si>
    <t>VCN-460</t>
  </si>
  <si>
    <t>VCN-600</t>
  </si>
  <si>
    <t>VCN-535C L</t>
  </si>
  <si>
    <t>VCN-700D L</t>
  </si>
  <si>
    <t>VC-Ez 410 IP</t>
  </si>
  <si>
    <t>VC-Ez 510 IP</t>
  </si>
  <si>
    <t>VC-Ez 660 IP</t>
  </si>
  <si>
    <t>VCE-430A L</t>
  </si>
  <si>
    <t>VCE-570B L</t>
  </si>
  <si>
    <t>VCE-570C L</t>
  </si>
  <si>
    <t>VCE-700C L</t>
  </si>
  <si>
    <t>VCE-700D L</t>
  </si>
  <si>
    <t>MTV-515/40</t>
  </si>
  <si>
    <t>MTV-655/60</t>
  </si>
  <si>
    <t>MTV-655/80</t>
  </si>
  <si>
    <t>MTV-815/80</t>
  </si>
  <si>
    <t>MTV-815/120</t>
  </si>
  <si>
    <t>VTC-530/20</t>
  </si>
  <si>
    <t>SVC-2000L/120</t>
  </si>
  <si>
    <t>SVC-2000L/200</t>
  </si>
  <si>
    <t>UN-600/30H</t>
  </si>
  <si>
    <t>UN-600/30V</t>
  </si>
  <si>
    <t>FJV-200</t>
  </si>
  <si>
    <t>FJV-250</t>
  </si>
  <si>
    <t>FJV-35/60</t>
  </si>
  <si>
    <t>FJV-35/80</t>
  </si>
  <si>
    <t>FJV-35/120</t>
  </si>
  <si>
    <t>FJV-60/80</t>
  </si>
  <si>
    <t>FJV-60/120</t>
  </si>
  <si>
    <t>FJV-60/160</t>
  </si>
  <si>
    <t>FJV-100/120</t>
  </si>
  <si>
    <t>FJV-100/160</t>
  </si>
  <si>
    <t>FJV 5 Face-35/60</t>
  </si>
  <si>
    <t>FJV 5 Face-35/80</t>
  </si>
  <si>
    <t>FJV 5 Face-35/120</t>
  </si>
  <si>
    <t>FJV 5 Face-60/80</t>
  </si>
  <si>
    <t>FJV 5 Face-60/120</t>
  </si>
  <si>
    <t>FJV 5 Face-60/160</t>
  </si>
  <si>
    <t>FJV 5 Face-100/120</t>
  </si>
  <si>
    <t>FJV 5 Face-100/160</t>
  </si>
  <si>
    <t>FJW-100/160</t>
  </si>
  <si>
    <t>HCN-4000 NEO</t>
  </si>
  <si>
    <t>HCN-5000 NEO</t>
  </si>
  <si>
    <t>HCN-6800 NEO</t>
  </si>
  <si>
    <t>HCN-4000 L</t>
  </si>
  <si>
    <t>HCN-5000 L</t>
  </si>
  <si>
    <t>HCN-5000/50</t>
  </si>
  <si>
    <t>HCN-5000/50S</t>
  </si>
  <si>
    <t>HCN-6000 L</t>
  </si>
  <si>
    <t>HCN-6800 L</t>
  </si>
  <si>
    <t>HCN-8800</t>
  </si>
  <si>
    <t>HCN-10800</t>
  </si>
  <si>
    <t>HCN-12800</t>
  </si>
  <si>
    <t>MEGA 8800</t>
  </si>
  <si>
    <t>HCN-12500Q</t>
  </si>
  <si>
    <t>HCN-12500QS</t>
  </si>
  <si>
    <t>HCN-16000Q</t>
  </si>
  <si>
    <t>HCN-16000QS</t>
  </si>
  <si>
    <t>HCN-16800Q</t>
  </si>
  <si>
    <t>HCN-16800QS</t>
  </si>
  <si>
    <t>µ-8800</t>
  </si>
  <si>
    <t>µ-10800</t>
  </si>
  <si>
    <t>FF-5000/40</t>
  </si>
  <si>
    <t>FF-n5000/40</t>
  </si>
  <si>
    <t>FF-5000/50</t>
  </si>
  <si>
    <t xml:space="preserve"> km</t>
  </si>
  <si>
    <t>Class One Van Diesel(up to 1305kg)</t>
  </si>
  <si>
    <t>Class Two Van Diesel(1305kg to 1704kg)</t>
  </si>
  <si>
    <t>Class One Van Diesel (1704kg to 3500kg)</t>
  </si>
  <si>
    <t>Average Van Diesel(up to 3500kg)</t>
  </si>
  <si>
    <t>Class One Van Petrol(up to 1305kg)</t>
  </si>
  <si>
    <t>Class Two Van Petrol(1305kg to 1704kg)</t>
  </si>
  <si>
    <t>Class One Van Petrol (1704kg to 3500kg)</t>
  </si>
  <si>
    <t>Average Van Petrol(up to 3500kg)</t>
  </si>
  <si>
    <t>Class One Van Battery(up to 1305kg)</t>
  </si>
  <si>
    <t>Class Two Van Battery(1305kg to 1704kg)</t>
  </si>
  <si>
    <t>Class One Van Battery (1704kg to 3500kg)</t>
  </si>
  <si>
    <t>Average Van Battery(up to 3500kg)</t>
  </si>
  <si>
    <t>HGV Rigid (&gt; 3500kg to 7500kg) (0% Laden)</t>
  </si>
  <si>
    <t>HGV Rigid (&gt;7500kg to 17000kg) (0% Laden)</t>
  </si>
  <si>
    <t>HGV Rigid (&gt; 17000kg) (0% Laden)</t>
  </si>
  <si>
    <t>HGV All Rigids (0% Laden)</t>
  </si>
  <si>
    <t>HGV Articulated ( &gt;3500kg to 33000kg) (0% Laden)</t>
  </si>
  <si>
    <t>HGV Articulated ( &gt;33000kg) (0% Laden)</t>
  </si>
  <si>
    <t>HGV All Artics (0% Laden)</t>
  </si>
  <si>
    <t>All HVGs (0% Laden)</t>
  </si>
  <si>
    <t>HGV(DIESEL)</t>
  </si>
  <si>
    <t>HGV Refrigerated(DIESEL)</t>
  </si>
  <si>
    <t>HGV Rigid (&gt; 3500kg to 7500kg) (50% Laden)</t>
  </si>
  <si>
    <t>HGV Rigid (&gt;7500kg to 17000kg) (50% Laden)</t>
  </si>
  <si>
    <t>HGV Rigid (&gt; 17000kg) (50% Laden)</t>
  </si>
  <si>
    <t>HGV All Rigids (50% Laden)</t>
  </si>
  <si>
    <t>HGV Articulated ( &gt;3500kg to 33000kg) (50% Laden)</t>
  </si>
  <si>
    <t>HGV Articulated ( &gt;33000kg) (50% Laden)</t>
  </si>
  <si>
    <t>HGV All Artics (50% Laden)</t>
  </si>
  <si>
    <t>All HVGs (50% Laden)</t>
  </si>
  <si>
    <t>HGV Rigid (&gt; 3500kg to 7500kg) (100% Laden)</t>
  </si>
  <si>
    <t>HGV Rigid (&gt;7500kg to 17000kg) (100% Laden)</t>
  </si>
  <si>
    <t>HGV Rigid (&gt; 17000kg) (100% Laden)</t>
  </si>
  <si>
    <t>HGV All Rigids (100% Laden)</t>
  </si>
  <si>
    <t>HGV Articulated ( &gt;3500kg to 33000kg) (100% Laden)</t>
  </si>
  <si>
    <t>HGV Articulated ( &gt;33000kg) (100% Laden)</t>
  </si>
  <si>
    <t>HGV All Artics (100% Laden)</t>
  </si>
  <si>
    <t>All HVGs (100% Laden)</t>
  </si>
  <si>
    <t>All HVGs (Average Laden)</t>
  </si>
  <si>
    <t>HGV All Artics (Average Laden)</t>
  </si>
  <si>
    <t>HGV Articulated ( &gt;33000kg) (Average Laden)</t>
  </si>
  <si>
    <t>HGV Articulated ( &gt;3500kg to 33000kg) (Average Laden)</t>
  </si>
  <si>
    <t>HGV All Rigids (Average Laden)</t>
  </si>
  <si>
    <t>HGV Rigid (&gt; 17000kg) (Average Laden)</t>
  </si>
  <si>
    <t>HGV Rigid (&gt;7500kg to 17000kg) (Average Laden)</t>
  </si>
  <si>
    <t>HGV Rigid (&gt; 3500kg to 7500kg) (Average Laden)</t>
  </si>
  <si>
    <t>Manufacture</t>
  </si>
  <si>
    <t>International with RF</t>
  </si>
  <si>
    <t>International witout RF</t>
  </si>
  <si>
    <t>Belly Freight Flights&lt;1500km</t>
  </si>
  <si>
    <t>Belly Freight Flights&gt;1500km</t>
  </si>
  <si>
    <t>Freighter&lt;1500km</t>
  </si>
  <si>
    <t>Freighter&gt;1500km</t>
  </si>
  <si>
    <t>Rail(Freight Train)</t>
  </si>
  <si>
    <t>Crude tanker (200,000+ dwt)</t>
  </si>
  <si>
    <t>Crude tanker (120,000–199,999 dwt)</t>
  </si>
  <si>
    <t>Crude tanker (80,000–119,999 dwt)</t>
  </si>
  <si>
    <t>Crude tanker (60,000–79,999 dwt)</t>
  </si>
  <si>
    <t>Crude tanker(10,000–59,999 dwt)</t>
  </si>
  <si>
    <t>Crude tanker (0–9999 dwt)</t>
  </si>
  <si>
    <t>Crude tanker (Average)</t>
  </si>
  <si>
    <t>Products tanker (60,000+ dwt)</t>
  </si>
  <si>
    <t>Products tanker (20,000–59,999 dwt)</t>
  </si>
  <si>
    <t>Products tanker (10,000–19,999 dwt)</t>
  </si>
  <si>
    <t>Products tanker (5,000–9,999 dwt)</t>
  </si>
  <si>
    <t>Products tanker (0–4,999 dwt)</t>
  </si>
  <si>
    <t>Products tanker (Average)</t>
  </si>
  <si>
    <t>Chemical tanker (20,000+ dwt)</t>
  </si>
  <si>
    <t>Chemical tanker (10,000–19,999 dwt)</t>
  </si>
  <si>
    <t>Chemical tanker (5,000–9,999 dwt)</t>
  </si>
  <si>
    <t>Chemical tanker (0–4,999 dwt)</t>
  </si>
  <si>
    <t>Chemical tanker (Average)</t>
  </si>
  <si>
    <t>LNG tanker (200,000+ m3)</t>
  </si>
  <si>
    <t>LNG tanker (0–199,999 m3)</t>
  </si>
  <si>
    <t>LNG tanker (Average)</t>
  </si>
  <si>
    <t>LPG tanker (50,000+ m3)</t>
  </si>
  <si>
    <t>LPG tanker (0–49,999 m3)</t>
  </si>
  <si>
    <t>LPG tanker (Average)</t>
  </si>
  <si>
    <t>Bulk carrier (200,000+ dwt)</t>
  </si>
  <si>
    <t>Bulk carrier (100,000–199,999 dwt)</t>
  </si>
  <si>
    <t>Bulk carrier (60,000–99,999 dwt)</t>
  </si>
  <si>
    <t>Bulk carrier (Average)</t>
  </si>
  <si>
    <t>Bulk carrier (35,000–59,999 dwt)</t>
  </si>
  <si>
    <t>Bulk carrier (10,000-34,999 dwt)</t>
  </si>
  <si>
    <t>Bulk carrier (0–9999 dwt)</t>
  </si>
  <si>
    <t>General cargo (10,000+ dwt)</t>
  </si>
  <si>
    <t>General cargo (5,000–9,999 dwt)</t>
  </si>
  <si>
    <t>General cargo (0–4,999 dwt)</t>
  </si>
  <si>
    <t>General cargo (10,000+ dwt 100+ TEU)</t>
  </si>
  <si>
    <t>General cargo (5,000–9,999 dwt 100+ TEU)</t>
  </si>
  <si>
    <t>General cargo (0–4,999 dwt 100+ TEU)</t>
  </si>
  <si>
    <t>General cargo (Average)</t>
  </si>
  <si>
    <t>Container ship (8000+ TEU)</t>
  </si>
  <si>
    <t>Container ship (5000–7999 TEU)</t>
  </si>
  <si>
    <t>Container ship (3000–4999 TEU)</t>
  </si>
  <si>
    <t>Container ship (2000–2999 TEU)</t>
  </si>
  <si>
    <t>Container ship (1000–1999 TEU)</t>
  </si>
  <si>
    <t>Container ship (0–999 TEU)</t>
  </si>
  <si>
    <t>Container ship (Average)</t>
  </si>
  <si>
    <t>Vehicle transport (4000+ CEU)</t>
  </si>
  <si>
    <t>Vehicle transport (0–3999 CEU)</t>
  </si>
  <si>
    <t>Vehicle transport (Average)</t>
  </si>
  <si>
    <t>Ro-Ro ferry (2000+ LM)</t>
  </si>
  <si>
    <t>Ro-Ro ferry (0–1999 LM)</t>
  </si>
  <si>
    <t>Ro-Ro ferry (Average)</t>
  </si>
  <si>
    <t>Large passenger ferry (Average)</t>
  </si>
  <si>
    <t>Refrigerated cargo (All dwt)</t>
  </si>
  <si>
    <t>Energy</t>
  </si>
  <si>
    <t>Consumables</t>
  </si>
  <si>
    <t>Services</t>
  </si>
  <si>
    <t>Ef</t>
  </si>
  <si>
    <t>Categories</t>
  </si>
  <si>
    <t>Activities</t>
  </si>
  <si>
    <t>Machine brands</t>
  </si>
  <si>
    <t>YCM</t>
  </si>
  <si>
    <t>Amada</t>
  </si>
  <si>
    <t>Mazak</t>
  </si>
  <si>
    <t>Assembly</t>
  </si>
  <si>
    <t>Welding</t>
  </si>
  <si>
    <t>Joining</t>
  </si>
  <si>
    <t xml:space="preserve">Riveting             </t>
  </si>
  <si>
    <t>EF</t>
  </si>
  <si>
    <t>WASTE_TYPE</t>
  </si>
  <si>
    <t>Municipal Solid Waste (MSW)</t>
  </si>
  <si>
    <t>Hazardous Waste</t>
  </si>
  <si>
    <t>Organic  Waste</t>
  </si>
  <si>
    <t>Energy-Related Waste</t>
  </si>
  <si>
    <t>Organic waste</t>
  </si>
  <si>
    <t>MSW</t>
  </si>
  <si>
    <t>Mixed household waste</t>
  </si>
  <si>
    <t>Recyclable fractions</t>
  </si>
  <si>
    <t>Slag and ashes</t>
  </si>
  <si>
    <t>e.g. Metal Production</t>
  </si>
  <si>
    <t>Chemical residues</t>
  </si>
  <si>
    <t>e.g.production processes</t>
  </si>
  <si>
    <t>Spent solvents</t>
  </si>
  <si>
    <t>e.g.paint or chemical manufacturing</t>
  </si>
  <si>
    <t>Scrap metal</t>
  </si>
  <si>
    <t>Concrete rubble</t>
  </si>
  <si>
    <t>Bricks and masonry</t>
  </si>
  <si>
    <t>Wood and timber waste</t>
  </si>
  <si>
    <t>Asphalt and road construction waste</t>
  </si>
  <si>
    <t xml:space="preserve">Chemical waste </t>
  </si>
  <si>
    <t>e.g.acids, bases, solvents</t>
  </si>
  <si>
    <t>Electronic waste</t>
  </si>
  <si>
    <t>e.g. dismantling electronics</t>
  </si>
  <si>
    <t>Contaminated soil</t>
  </si>
  <si>
    <t>PCB-containing equipment</t>
  </si>
  <si>
    <t>Sewage sludge</t>
  </si>
  <si>
    <t>Manure</t>
  </si>
  <si>
    <t>Agricultural residues</t>
  </si>
  <si>
    <t>e.g.(crop residues, husks)</t>
  </si>
  <si>
    <t>Material-specific waste</t>
  </si>
  <si>
    <t>e.g.Paper,Plastic and other material specific waste</t>
  </si>
  <si>
    <t>PET, HDPE, PVC scraps</t>
  </si>
  <si>
    <t>Waste paper and cardboard</t>
  </si>
  <si>
    <t>Glass cullet (broken glass)</t>
  </si>
  <si>
    <t>Waste oil</t>
  </si>
  <si>
    <t>Waste lubricants</t>
  </si>
  <si>
    <t>Ash from biomass or coal combustion</t>
  </si>
  <si>
    <t>Industrial&amp;Process Waste</t>
  </si>
  <si>
    <t>Construction&amp;Demolition Waste</t>
  </si>
  <si>
    <t>Construction &amp; Demolition Waste</t>
  </si>
  <si>
    <t>Industrial &amp; Process Waste</t>
  </si>
  <si>
    <t>Organic Waste</t>
  </si>
  <si>
    <t>Material-specific Waste</t>
  </si>
  <si>
    <t>Energy-related Waste</t>
  </si>
  <si>
    <t>Semiconductors</t>
  </si>
  <si>
    <t>Smartphones</t>
  </si>
  <si>
    <t>Cameras</t>
  </si>
  <si>
    <t>Kitchen Appliances</t>
  </si>
  <si>
    <t>Example</t>
  </si>
  <si>
    <t>Detergent/Chemicals</t>
  </si>
  <si>
    <t>Food Items</t>
  </si>
  <si>
    <t>Aluminium Recycling</t>
  </si>
  <si>
    <t>Steel Recycling</t>
  </si>
  <si>
    <t>Main (kWh)</t>
  </si>
  <si>
    <t>Second Spindle (kWh)</t>
  </si>
  <si>
    <t>Third Spindle (kWh)</t>
  </si>
  <si>
    <t>1.5</t>
  </si>
  <si>
    <t>2</t>
  </si>
  <si>
    <t>4</t>
  </si>
  <si>
    <t>25</t>
  </si>
  <si>
    <t>18.5</t>
  </si>
  <si>
    <t>30</t>
  </si>
  <si>
    <t>11</t>
  </si>
  <si>
    <t>5.5</t>
  </si>
  <si>
    <t>7.5</t>
  </si>
  <si>
    <t>34</t>
  </si>
  <si>
    <t>45</t>
  </si>
  <si>
    <t>α-D21SiB5 Plus/α-D14SiB5 Plus</t>
  </si>
  <si>
    <t>4.0</t>
  </si>
  <si>
    <t>α-D21SiB Plus/α-D14SiB Plus</t>
  </si>
  <si>
    <t>α-D21MiB5 Plus/α-D14MiB5 Plus</t>
  </si>
  <si>
    <t>α-D21MiB Plus/α-D14MiB Plus</t>
  </si>
  <si>
    <t>α-D21DiB5 Plus/α-D14DiB5 Plus</t>
  </si>
  <si>
    <t>α-D21DiB Plus/α-D14DiB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</si>
</sst>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002060"/>
      <name val="Calibri"/>
    </font>
    <font>
      <b/>
      <sz val="11"/>
      <color rgb="FFFFFFFF"/>
      <name val="Aptos Narrow"/>
      <scheme val="minor"/>
    </font>
    <font>
      <sz val="11"/>
      <color theme="2" tint="-9.9978637043366805E-2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theme="1"/>
      <name val="Calibri"/>
    </font>
    <font>
      <b/>
      <sz val="11"/>
      <color theme="0"/>
      <name val="Aptos Narrow"/>
      <charset val="1"/>
    </font>
    <font>
      <sz val="12"/>
      <color rgb="FF001D35"/>
      <name val="Aptos Narrow"/>
      <scheme val="minor"/>
    </font>
    <font>
      <sz val="11"/>
      <color rgb="FF002060"/>
      <name val="Aptos Display"/>
      <scheme val="maj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3"/>
      <color rgb="FF595959"/>
      <name val="Arial"/>
      <family val="2"/>
    </font>
    <font>
      <b/>
      <sz val="12"/>
      <color rgb="FF000000"/>
      <name val="Aptos Narrow"/>
      <family val="2"/>
      <scheme val="minor"/>
    </font>
    <font>
      <sz val="10"/>
      <color rgb="FF000000"/>
      <name val="Calibri"/>
      <family val="2"/>
    </font>
    <font>
      <b/>
      <sz val="8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2060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77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12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5" fillId="3" borderId="6" xfId="1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6" fillId="4" borderId="29" xfId="0" applyFont="1" applyFill="1" applyBorder="1" applyAlignment="1">
      <alignment horizontal="center"/>
    </xf>
    <xf numFmtId="0" fontId="6" fillId="4" borderId="30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6" fillId="4" borderId="32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9" xfId="0" applyBorder="1"/>
    <xf numFmtId="0" fontId="0" fillId="0" borderId="32" xfId="0" applyBorder="1"/>
    <xf numFmtId="0" fontId="6" fillId="0" borderId="23" xfId="0" applyFont="1" applyBorder="1" applyAlignment="1">
      <alignment horizontal="center"/>
    </xf>
    <xf numFmtId="0" fontId="6" fillId="0" borderId="9" xfId="0" applyFont="1" applyBorder="1"/>
    <xf numFmtId="0" fontId="8" fillId="0" borderId="0" xfId="0" applyFont="1" applyAlignment="1">
      <alignment horizontal="center"/>
    </xf>
    <xf numFmtId="0" fontId="0" fillId="0" borderId="35" xfId="0" applyBorder="1"/>
    <xf numFmtId="0" fontId="0" fillId="0" borderId="36" xfId="0" applyBorder="1"/>
    <xf numFmtId="0" fontId="0" fillId="0" borderId="35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2" xfId="0" applyBorder="1" applyAlignment="1">
      <alignment horizontal="center"/>
    </xf>
    <xf numFmtId="0" fontId="9" fillId="9" borderId="23" xfId="0" applyFont="1" applyFill="1" applyBorder="1"/>
    <xf numFmtId="0" fontId="9" fillId="9" borderId="39" xfId="0" applyFont="1" applyFill="1" applyBorder="1"/>
    <xf numFmtId="0" fontId="0" fillId="0" borderId="38" xfId="0" applyBorder="1"/>
    <xf numFmtId="0" fontId="0" fillId="0" borderId="34" xfId="0" applyBorder="1"/>
    <xf numFmtId="0" fontId="0" fillId="9" borderId="23" xfId="0" applyFill="1" applyBorder="1"/>
    <xf numFmtId="0" fontId="0" fillId="9" borderId="16" xfId="0" applyFill="1" applyBorder="1"/>
    <xf numFmtId="0" fontId="0" fillId="9" borderId="39" xfId="0" applyFill="1" applyBorder="1"/>
    <xf numFmtId="0" fontId="0" fillId="9" borderId="9" xfId="0" applyFill="1" applyBorder="1"/>
    <xf numFmtId="0" fontId="10" fillId="3" borderId="18" xfId="1" applyFont="1" applyBorder="1"/>
    <xf numFmtId="0" fontId="10" fillId="3" borderId="19" xfId="1" applyFont="1" applyBorder="1" applyAlignment="1">
      <alignment horizontal="center"/>
    </xf>
    <xf numFmtId="0" fontId="10" fillId="3" borderId="19" xfId="1" applyFont="1" applyBorder="1"/>
    <xf numFmtId="0" fontId="10" fillId="3" borderId="20" xfId="1" applyFont="1" applyBorder="1"/>
    <xf numFmtId="0" fontId="10" fillId="3" borderId="6" xfId="1" applyFont="1" applyBorder="1" applyAlignment="1">
      <alignment horizontal="center"/>
    </xf>
    <xf numFmtId="0" fontId="10" fillId="0" borderId="0" xfId="1" applyFont="1" applyFill="1" applyBorder="1"/>
    <xf numFmtId="0" fontId="10" fillId="0" borderId="0" xfId="1" applyFont="1" applyFill="1" applyBorder="1" applyAlignment="1">
      <alignment horizontal="center"/>
    </xf>
    <xf numFmtId="0" fontId="10" fillId="0" borderId="0" xfId="1" applyFont="1" applyFill="1" applyAlignment="1">
      <alignment horizontal="center"/>
    </xf>
    <xf numFmtId="0" fontId="10" fillId="0" borderId="0" xfId="1" applyFont="1" applyFill="1" applyAlignment="1"/>
    <xf numFmtId="0" fontId="10" fillId="0" borderId="0" xfId="1" applyFont="1" applyFill="1" applyBorder="1" applyAlignment="1"/>
    <xf numFmtId="0" fontId="8" fillId="0" borderId="0" xfId="0" applyFont="1"/>
    <xf numFmtId="0" fontId="10" fillId="0" borderId="0" xfId="1" applyFont="1" applyFill="1" applyBorder="1" applyAlignment="1">
      <alignment wrapText="1"/>
    </xf>
    <xf numFmtId="0" fontId="6" fillId="0" borderId="0" xfId="0" applyFont="1" applyAlignment="1">
      <alignment wrapText="1"/>
    </xf>
    <xf numFmtId="0" fontId="0" fillId="10" borderId="0" xfId="0" applyFill="1" applyAlignment="1">
      <alignment horizontal="center"/>
    </xf>
    <xf numFmtId="0" fontId="2" fillId="0" borderId="0" xfId="0" applyFont="1"/>
    <xf numFmtId="0" fontId="11" fillId="2" borderId="0" xfId="0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5" fillId="0" borderId="0" xfId="1" applyFont="1" applyFill="1" applyBorder="1" applyAlignment="1">
      <alignment vertical="center" wrapText="1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14" fillId="0" borderId="53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4" fillId="0" borderId="0" xfId="0" applyFont="1"/>
    <xf numFmtId="0" fontId="14" fillId="0" borderId="53" xfId="0" applyFont="1" applyBorder="1"/>
    <xf numFmtId="0" fontId="14" fillId="0" borderId="0" xfId="0" applyFont="1" applyAlignment="1">
      <alignment vertical="center" wrapText="1"/>
    </xf>
    <xf numFmtId="0" fontId="14" fillId="0" borderId="54" xfId="0" applyFont="1" applyBorder="1" applyAlignment="1">
      <alignment vertical="center" wrapText="1"/>
    </xf>
    <xf numFmtId="0" fontId="14" fillId="0" borderId="0" xfId="0" applyFont="1" applyAlignment="1">
      <alignment wrapText="1"/>
    </xf>
    <xf numFmtId="0" fontId="14" fillId="0" borderId="56" xfId="0" applyFont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4" fillId="0" borderId="54" xfId="0" applyFont="1" applyBorder="1"/>
    <xf numFmtId="0" fontId="15" fillId="0" borderId="54" xfId="0" applyFont="1" applyBorder="1" applyAlignment="1">
      <alignment vertical="center" wrapText="1"/>
    </xf>
    <xf numFmtId="0" fontId="15" fillId="0" borderId="55" xfId="0" applyFont="1" applyBorder="1" applyAlignment="1">
      <alignment vertical="center" wrapText="1"/>
    </xf>
    <xf numFmtId="0" fontId="14" fillId="0" borderId="54" xfId="0" applyFont="1" applyBorder="1" applyAlignment="1">
      <alignment horizontal="center" vertical="center" wrapText="1"/>
    </xf>
    <xf numFmtId="0" fontId="14" fillId="0" borderId="55" xfId="0" applyFont="1" applyBorder="1" applyAlignment="1">
      <alignment vertical="center" wrapText="1"/>
    </xf>
    <xf numFmtId="0" fontId="15" fillId="0" borderId="56" xfId="0" applyFont="1" applyBorder="1" applyAlignment="1">
      <alignment vertical="center" wrapText="1"/>
    </xf>
    <xf numFmtId="0" fontId="14" fillId="0" borderId="54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9" fillId="0" borderId="53" xfId="0" applyFont="1" applyBorder="1" applyAlignment="1">
      <alignment horizontal="center" wrapText="1"/>
    </xf>
    <xf numFmtId="0" fontId="19" fillId="0" borderId="54" xfId="0" applyFont="1" applyBorder="1" applyAlignment="1">
      <alignment wrapText="1"/>
    </xf>
    <xf numFmtId="0" fontId="19" fillId="0" borderId="0" xfId="0" applyFont="1" applyAlignment="1">
      <alignment horizontal="center" wrapText="1"/>
    </xf>
    <xf numFmtId="0" fontId="16" fillId="0" borderId="53" xfId="0" applyFont="1" applyBorder="1"/>
    <xf numFmtId="0" fontId="14" fillId="0" borderId="0" xfId="0" applyFont="1" applyAlignment="1">
      <alignment vertical="center"/>
    </xf>
    <xf numFmtId="0" fontId="20" fillId="0" borderId="53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15" fillId="0" borderId="53" xfId="0" applyFont="1" applyBorder="1" applyAlignment="1">
      <alignment horizontal="center" wrapText="1"/>
    </xf>
    <xf numFmtId="0" fontId="14" fillId="0" borderId="53" xfId="0" applyFont="1" applyBorder="1" applyAlignment="1">
      <alignment wrapText="1"/>
    </xf>
    <xf numFmtId="0" fontId="16" fillId="0" borderId="53" xfId="0" applyFont="1" applyBorder="1" applyAlignment="1">
      <alignment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4" fillId="0" borderId="54" xfId="0" applyFont="1" applyBorder="1" applyAlignment="1">
      <alignment vertical="center"/>
    </xf>
    <xf numFmtId="0" fontId="14" fillId="0" borderId="56" xfId="0" applyFont="1" applyBorder="1" applyAlignment="1">
      <alignment vertical="center"/>
    </xf>
    <xf numFmtId="0" fontId="14" fillId="0" borderId="55" xfId="0" applyFont="1" applyBorder="1" applyAlignment="1">
      <alignment vertical="center"/>
    </xf>
    <xf numFmtId="0" fontId="17" fillId="0" borderId="54" xfId="0" applyFont="1" applyBorder="1" applyAlignment="1">
      <alignment horizontal="center" vertical="center" wrapText="1"/>
    </xf>
    <xf numFmtId="0" fontId="17" fillId="0" borderId="56" xfId="0" applyFont="1" applyBorder="1" applyAlignment="1">
      <alignment vertical="center" wrapText="1"/>
    </xf>
    <xf numFmtId="0" fontId="17" fillId="0" borderId="55" xfId="0" applyFont="1" applyBorder="1" applyAlignment="1">
      <alignment vertical="center" wrapText="1"/>
    </xf>
    <xf numFmtId="0" fontId="21" fillId="0" borderId="53" xfId="0" applyFont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5" fillId="7" borderId="0" xfId="0" applyFont="1" applyFill="1" applyAlignment="1">
      <alignment horizontal="center"/>
    </xf>
    <xf numFmtId="0" fontId="14" fillId="0" borderId="55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22" fillId="0" borderId="0" xfId="0" applyFont="1"/>
    <xf numFmtId="0" fontId="23" fillId="0" borderId="0" xfId="0" applyFont="1" applyAlignment="1">
      <alignment horizontal="center"/>
    </xf>
    <xf numFmtId="0" fontId="26" fillId="11" borderId="0" xfId="0" applyFont="1" applyFill="1" applyAlignment="1">
      <alignment horizontal="justify" vertical="center" wrapText="1"/>
    </xf>
    <xf numFmtId="0" fontId="24" fillId="0" borderId="59" xfId="0" applyFont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0" fontId="25" fillId="11" borderId="34" xfId="0" applyFont="1" applyFill="1" applyBorder="1" applyAlignment="1">
      <alignment horizontal="justify" vertical="center" wrapText="1"/>
    </xf>
    <xf numFmtId="0" fontId="26" fillId="11" borderId="25" xfId="0" applyFont="1" applyFill="1" applyBorder="1" applyAlignment="1">
      <alignment horizontal="justify" vertical="center" wrapText="1"/>
    </xf>
    <xf numFmtId="0" fontId="2" fillId="12" borderId="0" xfId="0" applyFont="1" applyFill="1"/>
    <xf numFmtId="0" fontId="3" fillId="0" borderId="53" xfId="0" applyFont="1" applyBorder="1" applyAlignment="1">
      <alignment horizontal="center" vertical="center" wrapText="1"/>
    </xf>
    <xf numFmtId="0" fontId="0" fillId="6" borderId="53" xfId="0" applyFill="1" applyBorder="1" applyAlignment="1">
      <alignment horizontal="left"/>
    </xf>
    <xf numFmtId="0" fontId="0" fillId="8" borderId="53" xfId="0" applyFill="1" applyBorder="1" applyAlignment="1">
      <alignment horizontal="left"/>
    </xf>
    <xf numFmtId="49" fontId="0" fillId="8" borderId="53" xfId="0" applyNumberFormat="1" applyFill="1" applyBorder="1" applyAlignment="1">
      <alignment horizontal="center" vertical="center"/>
    </xf>
    <xf numFmtId="49" fontId="0" fillId="8" borderId="53" xfId="0" applyNumberFormat="1" applyFill="1" applyBorder="1" applyAlignment="1">
      <alignment horizontal="center" vertical="center" wrapText="1"/>
    </xf>
    <xf numFmtId="0" fontId="0" fillId="8" borderId="53" xfId="0" applyFill="1" applyBorder="1" applyAlignment="1">
      <alignment horizontal="center" vertical="center" wrapText="1"/>
    </xf>
    <xf numFmtId="49" fontId="0" fillId="6" borderId="53" xfId="0" applyNumberFormat="1" applyFill="1" applyBorder="1" applyAlignment="1">
      <alignment horizontal="center" vertical="center"/>
    </xf>
    <xf numFmtId="0" fontId="0" fillId="6" borderId="53" xfId="0" applyFill="1" applyBorder="1" applyAlignment="1">
      <alignment horizontal="center"/>
    </xf>
    <xf numFmtId="49" fontId="0" fillId="15" borderId="53" xfId="0" applyNumberFormat="1" applyFill="1" applyBorder="1" applyAlignment="1">
      <alignment horizontal="center" vertical="center"/>
    </xf>
    <xf numFmtId="49" fontId="0" fillId="14" borderId="53" xfId="0" applyNumberFormat="1" applyFill="1" applyBorder="1" applyAlignment="1">
      <alignment horizontal="center" vertical="center"/>
    </xf>
    <xf numFmtId="49" fontId="0" fillId="13" borderId="53" xfId="0" applyNumberFormat="1" applyFill="1" applyBorder="1" applyAlignment="1">
      <alignment horizontal="center" vertical="center" wrapText="1"/>
    </xf>
    <xf numFmtId="49" fontId="0" fillId="13" borderId="53" xfId="0" applyNumberFormat="1" applyFill="1" applyBorder="1" applyAlignment="1">
      <alignment horizontal="center" vertical="center"/>
    </xf>
    <xf numFmtId="0" fontId="0" fillId="13" borderId="53" xfId="0" applyFill="1" applyBorder="1" applyAlignment="1">
      <alignment horizontal="left"/>
    </xf>
    <xf numFmtId="0" fontId="0" fillId="15" borderId="53" xfId="0" applyFill="1" applyBorder="1" applyAlignment="1">
      <alignment horizontal="left"/>
    </xf>
    <xf numFmtId="0" fontId="0" fillId="14" borderId="53" xfId="0" applyFill="1" applyBorder="1" applyAlignment="1">
      <alignment horizontal="left"/>
    </xf>
    <xf numFmtId="0" fontId="0" fillId="8" borderId="53" xfId="0" applyFill="1" applyBorder="1" applyAlignment="1">
      <alignment horizontal="center"/>
    </xf>
    <xf numFmtId="0" fontId="0" fillId="14" borderId="53" xfId="0" applyFill="1" applyBorder="1" applyAlignment="1">
      <alignment horizontal="center"/>
    </xf>
    <xf numFmtId="49" fontId="0" fillId="14" borderId="53" xfId="0" applyNumberFormat="1" applyFill="1" applyBorder="1" applyAlignment="1">
      <alignment horizontal="center"/>
    </xf>
    <xf numFmtId="49" fontId="0" fillId="14" borderId="53" xfId="0" applyNumberFormat="1" applyFill="1" applyBorder="1" applyAlignment="1">
      <alignment horizontal="center" vertical="center" wrapText="1"/>
    </xf>
    <xf numFmtId="0" fontId="14" fillId="0" borderId="53" xfId="0" applyFont="1" applyBorder="1" applyAlignment="1">
      <alignment vertical="center" wrapText="1"/>
    </xf>
    <xf numFmtId="0" fontId="0" fillId="8" borderId="53" xfId="0" applyFill="1" applyBorder="1" applyAlignment="1">
      <alignment horizontal="left" vertical="center"/>
    </xf>
    <xf numFmtId="0" fontId="0" fillId="8" borderId="53" xfId="0" applyFill="1" applyBorder="1" applyAlignment="1">
      <alignment horizontal="center" vertical="center"/>
    </xf>
    <xf numFmtId="0" fontId="0" fillId="6" borderId="53" xfId="0" applyFill="1" applyBorder="1" applyAlignment="1">
      <alignment horizontal="left" vertical="center"/>
    </xf>
    <xf numFmtId="0" fontId="0" fillId="15" borderId="53" xfId="0" applyFill="1" applyBorder="1" applyAlignment="1">
      <alignment horizontal="left" vertical="center"/>
    </xf>
    <xf numFmtId="0" fontId="0" fillId="14" borderId="53" xfId="0" applyFill="1" applyBorder="1" applyAlignment="1">
      <alignment horizontal="left" vertical="center"/>
    </xf>
    <xf numFmtId="0" fontId="0" fillId="14" borderId="53" xfId="0" applyFill="1" applyBorder="1" applyAlignment="1">
      <alignment horizontal="center" vertical="center"/>
    </xf>
    <xf numFmtId="0" fontId="0" fillId="6" borderId="53" xfId="0" applyFill="1" applyBorder="1" applyAlignment="1">
      <alignment horizontal="center" vertical="center"/>
    </xf>
    <xf numFmtId="0" fontId="0" fillId="15" borderId="53" xfId="0" applyFill="1" applyBorder="1" applyAlignment="1">
      <alignment horizontal="center" vertical="center"/>
    </xf>
    <xf numFmtId="0" fontId="0" fillId="16" borderId="53" xfId="0" applyFill="1" applyBorder="1"/>
    <xf numFmtId="0" fontId="0" fillId="16" borderId="53" xfId="0" applyFill="1" applyBorder="1" applyAlignment="1">
      <alignment horizontal="left"/>
    </xf>
    <xf numFmtId="0" fontId="0" fillId="13" borderId="53" xfId="0" applyFill="1" applyBorder="1"/>
    <xf numFmtId="0" fontId="0" fillId="8" borderId="53" xfId="0" applyFill="1" applyBorder="1"/>
    <xf numFmtId="4" fontId="0" fillId="8" borderId="53" xfId="0" applyNumberFormat="1" applyFill="1" applyBorder="1" applyAlignment="1">
      <alignment horizontal="center"/>
    </xf>
    <xf numFmtId="4" fontId="0" fillId="6" borderId="53" xfId="0" applyNumberFormat="1" applyFill="1" applyBorder="1" applyAlignment="1">
      <alignment horizontal="center"/>
    </xf>
    <xf numFmtId="4" fontId="0" fillId="15" borderId="53" xfId="0" applyNumberFormat="1" applyFill="1" applyBorder="1" applyAlignment="1">
      <alignment horizontal="center"/>
    </xf>
    <xf numFmtId="4" fontId="0" fillId="14" borderId="53" xfId="0" applyNumberFormat="1" applyFill="1" applyBorder="1" applyAlignment="1">
      <alignment horizontal="center"/>
    </xf>
    <xf numFmtId="4" fontId="0" fillId="16" borderId="53" xfId="0" applyNumberFormat="1" applyFill="1" applyBorder="1" applyAlignment="1">
      <alignment horizontal="center"/>
    </xf>
    <xf numFmtId="4" fontId="0" fillId="13" borderId="53" xfId="0" applyNumberFormat="1" applyFill="1" applyBorder="1" applyAlignment="1">
      <alignment horizontal="center"/>
    </xf>
    <xf numFmtId="0" fontId="0" fillId="17" borderId="53" xfId="0" applyFill="1" applyBorder="1" applyAlignment="1">
      <alignment horizontal="left"/>
    </xf>
    <xf numFmtId="4" fontId="0" fillId="17" borderId="53" xfId="0" applyNumberFormat="1" applyFill="1" applyBorder="1" applyAlignment="1">
      <alignment horizontal="center"/>
    </xf>
    <xf numFmtId="0" fontId="0" fillId="17" borderId="53" xfId="0" applyFill="1" applyBorder="1"/>
    <xf numFmtId="0" fontId="0" fillId="18" borderId="53" xfId="0" applyFill="1" applyBorder="1" applyAlignment="1">
      <alignment horizontal="left"/>
    </xf>
    <xf numFmtId="4" fontId="0" fillId="18" borderId="53" xfId="0" applyNumberFormat="1" applyFill="1" applyBorder="1" applyAlignment="1">
      <alignment horizontal="center"/>
    </xf>
    <xf numFmtId="0" fontId="0" fillId="18" borderId="53" xfId="0" applyFill="1" applyBorder="1"/>
    <xf numFmtId="0" fontId="0" fillId="10" borderId="53" xfId="0" applyFill="1" applyBorder="1"/>
    <xf numFmtId="4" fontId="0" fillId="10" borderId="53" xfId="0" applyNumberFormat="1" applyFill="1" applyBorder="1" applyAlignment="1">
      <alignment horizontal="center"/>
    </xf>
    <xf numFmtId="0" fontId="0" fillId="19" borderId="53" xfId="0" applyFill="1" applyBorder="1"/>
    <xf numFmtId="4" fontId="0" fillId="19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left"/>
    </xf>
    <xf numFmtId="0" fontId="0" fillId="15" borderId="53" xfId="0" applyFill="1" applyBorder="1" applyAlignment="1">
      <alignment horizontal="left" wrapText="1"/>
    </xf>
    <xf numFmtId="0" fontId="0" fillId="20" borderId="53" xfId="0" applyFill="1" applyBorder="1"/>
    <xf numFmtId="4" fontId="0" fillId="20" borderId="53" xfId="0" applyNumberFormat="1" applyFill="1" applyBorder="1" applyAlignment="1">
      <alignment horizontal="center"/>
    </xf>
    <xf numFmtId="0" fontId="0" fillId="20" borderId="53" xfId="0" applyFill="1" applyBorder="1" applyAlignment="1">
      <alignment horizontal="left"/>
    </xf>
    <xf numFmtId="4" fontId="27" fillId="19" borderId="53" xfId="0" applyNumberFormat="1" applyFont="1" applyFill="1" applyBorder="1" applyAlignment="1">
      <alignment horizontal="center"/>
    </xf>
    <xf numFmtId="4" fontId="0" fillId="7" borderId="53" xfId="0" applyNumberForma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0" fillId="0" borderId="53" xfId="0" applyBorder="1" applyAlignment="1">
      <alignment vertic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vertical="center"/>
    </xf>
    <xf numFmtId="0" fontId="6" fillId="4" borderId="64" xfId="0" applyFont="1" applyFill="1" applyBorder="1" applyAlignment="1">
      <alignment horizontal="center"/>
    </xf>
    <xf numFmtId="0" fontId="0" fillId="0" borderId="65" xfId="0" applyBorder="1" applyAlignment="1">
      <alignment horizontal="center"/>
    </xf>
    <xf numFmtId="0" fontId="6" fillId="4" borderId="66" xfId="0" applyFont="1" applyFill="1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8" xfId="0" applyBorder="1" applyAlignment="1">
      <alignment vertical="center"/>
    </xf>
    <xf numFmtId="0" fontId="6" fillId="4" borderId="69" xfId="0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0" fontId="31" fillId="0" borderId="0" xfId="0" applyFont="1"/>
    <xf numFmtId="0" fontId="0" fillId="0" borderId="53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8" xfId="0" applyBorder="1" applyAlignment="1">
      <alignment horizontal="center"/>
    </xf>
    <xf numFmtId="0" fontId="6" fillId="4" borderId="53" xfId="0" applyFont="1" applyFill="1" applyBorder="1" applyAlignment="1">
      <alignment horizontal="center"/>
    </xf>
    <xf numFmtId="0" fontId="3" fillId="0" borderId="56" xfId="0" applyFont="1" applyBorder="1" applyAlignment="1">
      <alignment horizontal="center" vertical="center" wrapText="1"/>
    </xf>
    <xf numFmtId="0" fontId="0" fillId="0" borderId="49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73" xfId="0" applyFont="1" applyBorder="1" applyAlignment="1">
      <alignment horizontal="center"/>
    </xf>
    <xf numFmtId="0" fontId="0" fillId="0" borderId="74" xfId="0" applyBorder="1"/>
    <xf numFmtId="0" fontId="0" fillId="0" borderId="7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76" xfId="0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2" borderId="0" xfId="0" applyFont="1" applyFill="1"/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17" fillId="0" borderId="54" xfId="0" applyFont="1" applyBorder="1" applyAlignment="1">
      <alignment horizontal="left" vertical="center" wrapText="1"/>
    </xf>
    <xf numFmtId="0" fontId="14" fillId="0" borderId="53" xfId="0" applyFont="1" applyBorder="1" applyAlignment="1">
      <alignment horizontal="left" vertical="center" wrapText="1"/>
    </xf>
    <xf numFmtId="0" fontId="0" fillId="21" borderId="0" xfId="0" applyFill="1"/>
    <xf numFmtId="0" fontId="14" fillId="0" borderId="54" xfId="0" applyFont="1" applyBorder="1" applyAlignment="1">
      <alignment horizontal="right" vertical="center" wrapText="1"/>
    </xf>
    <xf numFmtId="0" fontId="14" fillId="0" borderId="53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5" fillId="0" borderId="0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51" xfId="0" applyFont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6" fillId="0" borderId="40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46" xfId="0" applyFont="1" applyBorder="1" applyAlignment="1">
      <alignment horizontal="center" wrapText="1"/>
    </xf>
    <xf numFmtId="0" fontId="5" fillId="3" borderId="18" xfId="1" applyFont="1" applyBorder="1" applyAlignment="1">
      <alignment horizontal="center" vertical="center" wrapText="1"/>
    </xf>
    <xf numFmtId="0" fontId="5" fillId="3" borderId="19" xfId="1" applyFont="1" applyBorder="1" applyAlignment="1">
      <alignment horizontal="center" vertical="center" wrapText="1"/>
    </xf>
    <xf numFmtId="0" fontId="5" fillId="3" borderId="20" xfId="1" applyFont="1" applyBorder="1" applyAlignment="1">
      <alignment horizontal="center" vertical="center" wrapText="1"/>
    </xf>
    <xf numFmtId="0" fontId="5" fillId="3" borderId="18" xfId="1" applyFont="1" applyBorder="1" applyAlignment="1">
      <alignment horizontal="center" vertical="center"/>
    </xf>
    <xf numFmtId="0" fontId="5" fillId="3" borderId="19" xfId="1" applyFont="1" applyBorder="1" applyAlignment="1">
      <alignment horizontal="center" vertical="center"/>
    </xf>
    <xf numFmtId="0" fontId="5" fillId="3" borderId="20" xfId="1" applyFont="1" applyBorder="1" applyAlignment="1">
      <alignment horizontal="center" vertical="center"/>
    </xf>
    <xf numFmtId="0" fontId="5" fillId="3" borderId="45" xfId="1" applyFont="1" applyBorder="1" applyAlignment="1">
      <alignment horizontal="center" vertical="center" wrapText="1"/>
    </xf>
    <xf numFmtId="0" fontId="5" fillId="3" borderId="48" xfId="1" applyFont="1" applyBorder="1" applyAlignment="1">
      <alignment horizontal="center" vertical="center" wrapText="1"/>
    </xf>
    <xf numFmtId="0" fontId="5" fillId="3" borderId="50" xfId="1" applyFont="1" applyBorder="1" applyAlignment="1">
      <alignment horizontal="center" vertical="center" wrapText="1"/>
    </xf>
    <xf numFmtId="0" fontId="14" fillId="0" borderId="0" xfId="0" applyFont="1"/>
    <xf numFmtId="0" fontId="14" fillId="0" borderId="57" xfId="0" applyFont="1" applyBorder="1"/>
    <xf numFmtId="0" fontId="18" fillId="0" borderId="0" xfId="2"/>
    <xf numFmtId="0" fontId="14" fillId="0" borderId="57" xfId="0" applyFont="1" applyBorder="1" applyAlignment="1">
      <alignment horizontal="center" vertical="center"/>
    </xf>
    <xf numFmtId="0" fontId="14" fillId="0" borderId="54" xfId="0" applyFont="1" applyBorder="1"/>
    <xf numFmtId="0" fontId="14" fillId="0" borderId="56" xfId="0" applyFont="1" applyBorder="1"/>
    <xf numFmtId="0" fontId="14" fillId="0" borderId="55" xfId="0" applyFont="1" applyBorder="1"/>
    <xf numFmtId="0" fontId="14" fillId="0" borderId="54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3" fillId="7" borderId="33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8" borderId="42" xfId="0" applyFont="1" applyFill="1" applyBorder="1" applyAlignment="1">
      <alignment horizontal="center" vertical="center"/>
    </xf>
    <xf numFmtId="0" fontId="3" fillId="8" borderId="43" xfId="0" applyFont="1" applyFill="1" applyBorder="1" applyAlignment="1">
      <alignment horizontal="center" vertical="center"/>
    </xf>
    <xf numFmtId="0" fontId="3" fillId="8" borderId="44" xfId="0" applyFont="1" applyFill="1" applyBorder="1" applyAlignment="1">
      <alignment horizontal="center" vertical="center"/>
    </xf>
    <xf numFmtId="0" fontId="3" fillId="8" borderId="42" xfId="0" applyFont="1" applyFill="1" applyBorder="1" applyAlignment="1">
      <alignment horizontal="center"/>
    </xf>
    <xf numFmtId="0" fontId="3" fillId="8" borderId="43" xfId="0" applyFont="1" applyFill="1" applyBorder="1" applyAlignment="1">
      <alignment horizontal="center"/>
    </xf>
    <xf numFmtId="0" fontId="3" fillId="8" borderId="44" xfId="0" applyFont="1" applyFill="1" applyBorder="1" applyAlignment="1">
      <alignment horizontal="center"/>
    </xf>
    <xf numFmtId="0" fontId="5" fillId="3" borderId="33" xfId="1" applyFont="1" applyBorder="1" applyAlignment="1">
      <alignment horizontal="center"/>
    </xf>
    <xf numFmtId="0" fontId="5" fillId="3" borderId="8" xfId="1" applyFont="1" applyBorder="1" applyAlignment="1">
      <alignment horizontal="center"/>
    </xf>
    <xf numFmtId="0" fontId="5" fillId="3" borderId="7" xfId="1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10" fillId="3" borderId="18" xfId="1" applyFont="1" applyBorder="1" applyAlignment="1">
      <alignment horizontal="center" vertical="center"/>
    </xf>
    <xf numFmtId="0" fontId="10" fillId="3" borderId="19" xfId="1" applyFont="1" applyBorder="1" applyAlignment="1">
      <alignment horizontal="center" vertical="center"/>
    </xf>
    <xf numFmtId="0" fontId="10" fillId="3" borderId="20" xfId="1" applyFont="1" applyBorder="1" applyAlignment="1">
      <alignment horizontal="center" vertical="center"/>
    </xf>
    <xf numFmtId="0" fontId="10" fillId="3" borderId="18" xfId="1" applyFont="1" applyBorder="1" applyAlignment="1">
      <alignment horizontal="center" vertical="center" wrapText="1"/>
    </xf>
    <xf numFmtId="0" fontId="10" fillId="3" borderId="19" xfId="1" applyFont="1" applyBorder="1" applyAlignment="1">
      <alignment horizontal="center" vertical="center" wrapText="1"/>
    </xf>
    <xf numFmtId="0" fontId="10" fillId="3" borderId="20" xfId="1" applyFont="1" applyBorder="1" applyAlignment="1">
      <alignment horizontal="center" vertical="center" wrapText="1"/>
    </xf>
    <xf numFmtId="0" fontId="30" fillId="3" borderId="18" xfId="1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49" fontId="27" fillId="22" borderId="53" xfId="0" applyNumberFormat="1" applyFont="1" applyFill="1" applyBorder="1" applyAlignment="1">
      <alignment horizontal="center" vertical="center"/>
    </xf>
    <xf numFmtId="49" fontId="0" fillId="22" borderId="53" xfId="0" applyNumberFormat="1" applyFill="1" applyBorder="1" applyAlignment="1">
      <alignment horizontal="center" vertical="center"/>
    </xf>
    <xf numFmtId="0" fontId="0" fillId="22" borderId="53" xfId="0" applyFill="1" applyBorder="1"/>
    <xf numFmtId="49" fontId="0" fillId="22" borderId="53" xfId="0" applyNumberFormat="1" applyFill="1" applyBorder="1" applyAlignment="1">
      <alignment horizontal="center"/>
    </xf>
  </cellXfs>
  <cellStyles count="3">
    <cellStyle name="20% - Accent5" xfId="1" builtinId="4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920B-C09C-4E88-827F-04E6A256EC2A}">
  <dimension ref="A1:L86"/>
  <sheetViews>
    <sheetView workbookViewId="0">
      <pane ySplit="1" topLeftCell="A2" activePane="bottomLeft" state="frozen"/>
      <selection pane="bottomLeft" activeCell="I49" sqref="I49"/>
    </sheetView>
  </sheetViews>
  <sheetFormatPr defaultRowHeight="15" customHeight="1" x14ac:dyDescent="0.45"/>
  <cols>
    <col min="1" max="1" width="21.33203125" customWidth="1"/>
    <col min="2" max="2" width="25.33203125" bestFit="1" customWidth="1"/>
    <col min="3" max="3" width="17.33203125" customWidth="1"/>
    <col min="4" max="4" width="22.19921875" customWidth="1"/>
    <col min="5" max="5" width="19.6640625" bestFit="1" customWidth="1"/>
    <col min="6" max="6" width="22.19921875" bestFit="1" customWidth="1"/>
    <col min="7" max="7" width="32.86328125" bestFit="1" customWidth="1"/>
    <col min="8" max="8" width="38.33203125" bestFit="1" customWidth="1"/>
    <col min="12" max="12" width="9.86328125" customWidth="1"/>
  </cols>
  <sheetData>
    <row r="1" spans="1:12" ht="15" customHeight="1" x14ac:dyDescent="0.45">
      <c r="A1" s="1" t="s">
        <v>0</v>
      </c>
      <c r="B1" s="3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3" t="s">
        <v>6</v>
      </c>
      <c r="H1" s="93" t="s">
        <v>7</v>
      </c>
      <c r="I1" s="92"/>
      <c r="L1" s="2"/>
    </row>
    <row r="2" spans="1:12" ht="14.25" x14ac:dyDescent="0.45">
      <c r="A2" s="3" t="s">
        <v>8</v>
      </c>
      <c r="B2" s="15">
        <v>11120</v>
      </c>
      <c r="C2" s="5">
        <v>0.56999999999999995</v>
      </c>
      <c r="D2" s="40">
        <v>6.8</v>
      </c>
      <c r="E2" s="5">
        <v>0.78</v>
      </c>
      <c r="F2" s="141">
        <v>0.63</v>
      </c>
      <c r="G2" s="5">
        <v>6.5248999999999997</v>
      </c>
      <c r="H2" s="5">
        <v>34.782600000000002</v>
      </c>
    </row>
    <row r="3" spans="1:12" ht="14.25" x14ac:dyDescent="0.45">
      <c r="A3" t="s">
        <v>9</v>
      </c>
      <c r="B3" s="15">
        <v>9371</v>
      </c>
      <c r="C3" s="5">
        <v>1.63</v>
      </c>
      <c r="D3" s="5">
        <v>1.6</v>
      </c>
      <c r="E3" s="5">
        <v>0.8</v>
      </c>
      <c r="F3" s="141">
        <v>0.04</v>
      </c>
      <c r="G3" s="5">
        <v>6.5248999999999997</v>
      </c>
      <c r="H3" s="5">
        <v>34.782600000000002</v>
      </c>
    </row>
    <row r="4" spans="1:12" ht="14.25" x14ac:dyDescent="0.45">
      <c r="A4" t="s">
        <v>10</v>
      </c>
      <c r="B4" s="15">
        <v>15690</v>
      </c>
      <c r="C4" s="5">
        <v>0.92</v>
      </c>
      <c r="D4" s="5">
        <v>4.7699999999999996</v>
      </c>
      <c r="E4" s="5">
        <v>0.82</v>
      </c>
      <c r="F4" s="141">
        <v>0.33</v>
      </c>
      <c r="G4" s="5">
        <v>6.5248999999999997</v>
      </c>
      <c r="H4" s="5">
        <v>34.782600000000002</v>
      </c>
    </row>
    <row r="5" spans="1:12" ht="14.25" x14ac:dyDescent="0.45">
      <c r="A5" t="s">
        <v>11</v>
      </c>
      <c r="B5" s="15">
        <v>9836</v>
      </c>
      <c r="C5" s="5">
        <v>1.63</v>
      </c>
      <c r="D5" s="5">
        <v>6.8</v>
      </c>
      <c r="E5" s="5">
        <v>0.78</v>
      </c>
      <c r="F5" s="141">
        <v>0.11</v>
      </c>
      <c r="G5" s="5">
        <v>6.5248999999999997</v>
      </c>
      <c r="H5" s="5">
        <v>34.782600000000002</v>
      </c>
    </row>
    <row r="6" spans="1:12" ht="14.25" x14ac:dyDescent="0.45">
      <c r="A6" t="s">
        <v>12</v>
      </c>
      <c r="B6" s="15">
        <v>4374</v>
      </c>
      <c r="C6" s="5">
        <v>1.36</v>
      </c>
      <c r="D6" s="5">
        <v>12.48</v>
      </c>
      <c r="E6" s="5">
        <v>0.84</v>
      </c>
      <c r="F6" s="141">
        <v>0.55000000000000004</v>
      </c>
      <c r="G6" s="5">
        <v>6.5248999999999997</v>
      </c>
      <c r="H6" s="5">
        <v>34.782600000000002</v>
      </c>
    </row>
    <row r="7" spans="1:12" ht="14.25" x14ac:dyDescent="0.45">
      <c r="A7" t="s">
        <v>13</v>
      </c>
      <c r="B7" s="15">
        <v>7101</v>
      </c>
      <c r="C7" s="5">
        <v>0.24</v>
      </c>
      <c r="D7" s="5">
        <v>17.07</v>
      </c>
      <c r="E7" s="5">
        <v>0.82</v>
      </c>
      <c r="F7" s="141">
        <v>0.62</v>
      </c>
      <c r="G7" s="5">
        <v>6.5248999999999997</v>
      </c>
      <c r="H7" s="5">
        <v>34.782600000000002</v>
      </c>
    </row>
    <row r="8" spans="1:12" ht="14.25" x14ac:dyDescent="0.45">
      <c r="A8" t="s">
        <v>14</v>
      </c>
      <c r="B8" s="15">
        <v>2892</v>
      </c>
      <c r="C8" s="5">
        <v>0.24</v>
      </c>
      <c r="D8" s="40">
        <v>6.8</v>
      </c>
      <c r="E8" s="5">
        <v>0.83</v>
      </c>
      <c r="F8" s="141">
        <v>0.69</v>
      </c>
      <c r="G8" s="5">
        <v>6.5248999999999997</v>
      </c>
      <c r="H8" s="5">
        <v>34.782600000000002</v>
      </c>
    </row>
    <row r="9" spans="1:12" ht="14.25" x14ac:dyDescent="0.45">
      <c r="A9" t="s">
        <v>15</v>
      </c>
      <c r="B9" s="15">
        <v>8956</v>
      </c>
      <c r="C9" s="5">
        <v>0.24</v>
      </c>
      <c r="D9" s="40">
        <v>6.8</v>
      </c>
      <c r="E9" s="5">
        <v>0.84</v>
      </c>
      <c r="F9" s="141">
        <v>0.39</v>
      </c>
      <c r="G9" s="5">
        <v>6.5248999999999997</v>
      </c>
      <c r="H9" s="5">
        <v>34.782600000000002</v>
      </c>
    </row>
    <row r="10" spans="1:12" ht="14.25" x14ac:dyDescent="0.45">
      <c r="A10" t="s">
        <v>16</v>
      </c>
      <c r="B10" s="15">
        <v>10544</v>
      </c>
      <c r="C10" s="5">
        <v>1.28</v>
      </c>
      <c r="D10" s="40">
        <v>6.8</v>
      </c>
      <c r="E10" s="5">
        <v>0.87</v>
      </c>
      <c r="F10" s="141">
        <v>0.14000000000000001</v>
      </c>
      <c r="G10" s="5">
        <v>6.5248999999999997</v>
      </c>
      <c r="H10" s="5">
        <v>34.782600000000002</v>
      </c>
    </row>
    <row r="11" spans="1:12" ht="14.25" x14ac:dyDescent="0.45">
      <c r="A11" t="s">
        <v>17</v>
      </c>
      <c r="B11" s="15">
        <v>6312</v>
      </c>
      <c r="C11" s="5">
        <v>1.77</v>
      </c>
      <c r="D11" s="5">
        <v>4.0599999999999996</v>
      </c>
      <c r="E11" s="5">
        <v>0.82</v>
      </c>
      <c r="F11" s="141">
        <v>0.56999999999999995</v>
      </c>
      <c r="G11" s="5">
        <v>6.5248999999999997</v>
      </c>
      <c r="H11" s="5">
        <v>34.782600000000002</v>
      </c>
    </row>
    <row r="12" spans="1:12" ht="14.25" x14ac:dyDescent="0.45">
      <c r="A12" t="s">
        <v>18</v>
      </c>
      <c r="B12" s="15">
        <v>16978</v>
      </c>
      <c r="C12" s="5">
        <v>1.32</v>
      </c>
      <c r="D12" s="5">
        <v>4.76</v>
      </c>
      <c r="E12" s="5">
        <v>0.79</v>
      </c>
      <c r="F12" s="141">
        <v>0.08</v>
      </c>
      <c r="G12" s="5">
        <v>6.5248999999999997</v>
      </c>
      <c r="H12" s="5">
        <v>34.782600000000002</v>
      </c>
    </row>
    <row r="13" spans="1:12" ht="14.25" x14ac:dyDescent="0.45">
      <c r="A13" t="s">
        <v>19</v>
      </c>
      <c r="B13" s="15">
        <v>8949</v>
      </c>
      <c r="C13" s="5">
        <v>0.24</v>
      </c>
      <c r="D13" s="40">
        <v>6.8</v>
      </c>
      <c r="E13" s="5">
        <v>0.8</v>
      </c>
      <c r="F13" s="141">
        <v>0.34</v>
      </c>
      <c r="G13" s="5">
        <v>6.5248999999999997</v>
      </c>
      <c r="H13" s="5">
        <v>34.782600000000002</v>
      </c>
    </row>
    <row r="14" spans="1:12" ht="14.25" x14ac:dyDescent="0.45">
      <c r="A14" t="s">
        <v>20</v>
      </c>
      <c r="B14" s="15">
        <v>13060</v>
      </c>
      <c r="C14" s="5">
        <v>0.95</v>
      </c>
      <c r="D14" s="5">
        <v>3.42</v>
      </c>
      <c r="E14" s="5">
        <v>0.81</v>
      </c>
      <c r="F14" s="141">
        <v>0.12</v>
      </c>
      <c r="G14" s="5">
        <v>6.5248999999999997</v>
      </c>
      <c r="H14" s="5">
        <v>34.782600000000002</v>
      </c>
    </row>
    <row r="15" spans="1:12" ht="14.25" x14ac:dyDescent="0.45">
      <c r="A15" t="s">
        <v>21</v>
      </c>
      <c r="B15" s="15">
        <v>10143</v>
      </c>
      <c r="C15" s="5">
        <v>1.9</v>
      </c>
      <c r="D15" s="5">
        <v>12.5</v>
      </c>
      <c r="E15" s="5">
        <v>0.81</v>
      </c>
      <c r="F15" s="141">
        <v>0.44</v>
      </c>
      <c r="G15" s="5">
        <v>6.5248999999999997</v>
      </c>
      <c r="H15" s="5">
        <v>34.782600000000002</v>
      </c>
    </row>
    <row r="16" spans="1:12" ht="14.25" x14ac:dyDescent="0.45">
      <c r="A16" t="s">
        <v>22</v>
      </c>
      <c r="B16" s="15">
        <v>16158</v>
      </c>
      <c r="C16" s="5">
        <v>1.34</v>
      </c>
      <c r="D16" s="40">
        <v>6.8</v>
      </c>
      <c r="E16" s="5">
        <v>0.82</v>
      </c>
      <c r="F16" s="141">
        <v>0.28999999999999998</v>
      </c>
      <c r="G16" s="5">
        <v>6.5248999999999997</v>
      </c>
      <c r="H16" s="5">
        <v>34.782600000000002</v>
      </c>
    </row>
    <row r="17" spans="1:8" ht="14.25" x14ac:dyDescent="0.45">
      <c r="A17" t="s">
        <v>23</v>
      </c>
      <c r="B17" s="15">
        <v>4479</v>
      </c>
      <c r="C17" s="5">
        <v>1.5</v>
      </c>
      <c r="D17" s="5">
        <v>13.95</v>
      </c>
      <c r="E17" s="5">
        <v>0.83</v>
      </c>
      <c r="F17" s="141">
        <v>0.69</v>
      </c>
      <c r="G17" s="5">
        <v>6.5248999999999997</v>
      </c>
      <c r="H17" s="5">
        <v>34.782600000000002</v>
      </c>
    </row>
    <row r="18" spans="1:8" ht="14.25" x14ac:dyDescent="0.45">
      <c r="A18" t="s">
        <v>24</v>
      </c>
      <c r="B18" s="15">
        <v>9768</v>
      </c>
      <c r="C18" s="5">
        <v>1.62</v>
      </c>
      <c r="D18" s="40">
        <v>6.8</v>
      </c>
      <c r="E18" s="5">
        <v>0.78</v>
      </c>
      <c r="F18" s="141">
        <v>0.42</v>
      </c>
      <c r="G18" s="5">
        <v>6.5248999999999997</v>
      </c>
      <c r="H18" s="5">
        <v>34.782600000000002</v>
      </c>
    </row>
    <row r="19" spans="1:8" ht="14.25" x14ac:dyDescent="0.45">
      <c r="A19" t="s">
        <v>25</v>
      </c>
      <c r="B19" s="15">
        <v>19774</v>
      </c>
      <c r="C19" s="5">
        <v>0.28000000000000003</v>
      </c>
      <c r="D19" s="40">
        <v>6.8</v>
      </c>
      <c r="E19" s="5">
        <v>0.85</v>
      </c>
      <c r="F19" s="141">
        <v>0.23</v>
      </c>
      <c r="G19" s="5">
        <v>6.5248999999999997</v>
      </c>
      <c r="H19" s="5">
        <v>34.782600000000002</v>
      </c>
    </row>
    <row r="20" spans="1:8" ht="14.25" x14ac:dyDescent="0.45">
      <c r="A20" t="s">
        <v>26</v>
      </c>
      <c r="B20" s="15">
        <v>8252</v>
      </c>
      <c r="C20" s="40">
        <v>1.85</v>
      </c>
      <c r="D20" s="5">
        <v>3.88</v>
      </c>
      <c r="E20" s="5">
        <v>0.84</v>
      </c>
      <c r="F20" s="141">
        <v>0.47</v>
      </c>
      <c r="G20" s="5">
        <v>6.5248999999999997</v>
      </c>
      <c r="H20" s="5">
        <v>34.782600000000002</v>
      </c>
    </row>
    <row r="21" spans="1:8" ht="14.25" x14ac:dyDescent="0.45">
      <c r="A21" t="s">
        <v>27</v>
      </c>
      <c r="B21" s="15">
        <v>9248</v>
      </c>
      <c r="C21" s="5">
        <v>1.04</v>
      </c>
      <c r="D21" s="40">
        <v>6.8</v>
      </c>
      <c r="E21" s="5">
        <v>0.8</v>
      </c>
      <c r="F21" s="141">
        <v>0.03</v>
      </c>
      <c r="G21" s="5">
        <v>6.5248999999999997</v>
      </c>
      <c r="H21" s="5">
        <v>34.782600000000002</v>
      </c>
    </row>
    <row r="22" spans="1:8" ht="14.25" x14ac:dyDescent="0.45">
      <c r="A22" t="s">
        <v>28</v>
      </c>
      <c r="B22" s="15">
        <v>10781</v>
      </c>
      <c r="C22" s="5">
        <v>1.3</v>
      </c>
      <c r="D22" s="5">
        <v>3.85</v>
      </c>
      <c r="E22" s="5">
        <v>0.81</v>
      </c>
      <c r="F22" s="141">
        <v>0.05</v>
      </c>
      <c r="G22" s="5">
        <v>6.5248999999999997</v>
      </c>
      <c r="H22" s="5">
        <v>34.782600000000002</v>
      </c>
    </row>
    <row r="23" spans="1:8" ht="14.25" x14ac:dyDescent="0.45">
      <c r="A23" t="s">
        <v>29</v>
      </c>
      <c r="B23" s="15">
        <v>9910</v>
      </c>
      <c r="C23" s="5">
        <v>1.21</v>
      </c>
      <c r="D23" s="5">
        <v>3.94</v>
      </c>
      <c r="E23" s="5">
        <v>0.78</v>
      </c>
      <c r="F23" s="141">
        <v>0.42</v>
      </c>
      <c r="G23" s="5">
        <v>6.5248999999999997</v>
      </c>
      <c r="H23" s="5">
        <v>34.782600000000002</v>
      </c>
    </row>
    <row r="24" spans="1:8" ht="14.25" x14ac:dyDescent="0.45">
      <c r="A24" t="s">
        <v>30</v>
      </c>
      <c r="B24" s="15">
        <v>11613</v>
      </c>
      <c r="C24" s="40">
        <v>1.85</v>
      </c>
      <c r="D24" s="5">
        <v>12.53</v>
      </c>
      <c r="E24" s="5">
        <v>0.81</v>
      </c>
      <c r="F24" s="141">
        <v>0.48</v>
      </c>
      <c r="G24" s="5">
        <v>6.5248999999999997</v>
      </c>
      <c r="H24" s="5">
        <v>34.782600000000002</v>
      </c>
    </row>
    <row r="25" spans="1:8" ht="14.25" x14ac:dyDescent="0.45">
      <c r="A25" t="s">
        <v>31</v>
      </c>
      <c r="B25" s="15">
        <v>17552</v>
      </c>
      <c r="C25" s="5">
        <v>0.24</v>
      </c>
      <c r="D25" s="40">
        <v>6.8</v>
      </c>
      <c r="E25" s="5">
        <v>0.85</v>
      </c>
      <c r="F25" s="141">
        <v>0.31</v>
      </c>
      <c r="G25" s="5">
        <v>6.5248999999999997</v>
      </c>
      <c r="H25" s="5">
        <v>34.782600000000002</v>
      </c>
    </row>
    <row r="26" spans="1:8" ht="14.25" x14ac:dyDescent="0.45">
      <c r="A26" t="s">
        <v>32</v>
      </c>
      <c r="B26" s="15">
        <v>9216</v>
      </c>
      <c r="C26" s="5">
        <v>0.24</v>
      </c>
      <c r="D26" s="5">
        <v>3.97</v>
      </c>
      <c r="E26" s="5">
        <v>0.8</v>
      </c>
      <c r="F26" s="141">
        <v>0.44</v>
      </c>
      <c r="G26" s="5">
        <v>6.5248999999999997</v>
      </c>
      <c r="H26" s="5">
        <v>34.782600000000002</v>
      </c>
    </row>
    <row r="27" spans="1:8" ht="14.25" x14ac:dyDescent="0.45">
      <c r="A27" t="s">
        <v>33</v>
      </c>
      <c r="B27" s="15">
        <v>9462</v>
      </c>
      <c r="C27" s="5">
        <v>1.55</v>
      </c>
      <c r="D27" s="40">
        <v>6.8</v>
      </c>
      <c r="E27" s="5">
        <v>0.8</v>
      </c>
      <c r="F27" s="141">
        <v>0.39</v>
      </c>
      <c r="G27" s="5">
        <v>6.5248999999999997</v>
      </c>
      <c r="H27" s="5">
        <v>34.782600000000002</v>
      </c>
    </row>
    <row r="28" spans="1:8" ht="14.25" x14ac:dyDescent="0.45">
      <c r="A28" t="s">
        <v>34</v>
      </c>
      <c r="B28" s="15">
        <v>11336</v>
      </c>
      <c r="C28" s="40">
        <v>1.85</v>
      </c>
      <c r="D28" s="5">
        <v>2.25</v>
      </c>
      <c r="E28" s="40">
        <v>0.8</v>
      </c>
      <c r="F28" s="141">
        <v>0.01</v>
      </c>
      <c r="G28" s="5">
        <v>6.5248999999999997</v>
      </c>
      <c r="H28" s="5">
        <v>34.782600000000002</v>
      </c>
    </row>
    <row r="29" spans="1:8" ht="14.25" x14ac:dyDescent="0.45">
      <c r="A29" t="s">
        <v>35</v>
      </c>
      <c r="B29" s="15">
        <v>7176</v>
      </c>
      <c r="C29" s="40">
        <v>1.9</v>
      </c>
      <c r="D29" s="40">
        <v>6.8</v>
      </c>
      <c r="E29" s="5">
        <v>0.85</v>
      </c>
      <c r="F29" s="141">
        <v>0.63</v>
      </c>
      <c r="G29" s="5">
        <v>6.5248999999999997</v>
      </c>
      <c r="H29" s="5">
        <v>34.782600000000002</v>
      </c>
    </row>
    <row r="30" spans="1:8" ht="14.25" x14ac:dyDescent="0.45">
      <c r="A30" t="s">
        <v>36</v>
      </c>
      <c r="B30" s="15">
        <v>3530</v>
      </c>
      <c r="C30" s="5">
        <v>2.0299999999999998</v>
      </c>
      <c r="D30" s="5">
        <v>17.11</v>
      </c>
      <c r="E30" s="5">
        <v>0.86</v>
      </c>
      <c r="F30" s="141">
        <v>0.71</v>
      </c>
      <c r="G30" s="5">
        <v>6.5248999999999997</v>
      </c>
      <c r="H30" s="5">
        <v>34.782600000000002</v>
      </c>
    </row>
    <row r="31" spans="1:8" ht="14.25" x14ac:dyDescent="0.45">
      <c r="A31" t="s">
        <v>37</v>
      </c>
      <c r="B31" s="15">
        <v>6266</v>
      </c>
      <c r="C31" s="5">
        <v>0.36</v>
      </c>
      <c r="D31" s="5">
        <v>4.0599999999999996</v>
      </c>
      <c r="E31" s="5">
        <v>0.82</v>
      </c>
      <c r="F31" s="141">
        <v>0.61</v>
      </c>
      <c r="G31" s="5">
        <v>6.5248999999999997</v>
      </c>
      <c r="H31" s="5">
        <v>34.782600000000002</v>
      </c>
    </row>
    <row r="32" spans="1:8" ht="14.25" x14ac:dyDescent="0.45">
      <c r="A32" t="s">
        <v>38</v>
      </c>
      <c r="B32" s="5">
        <v>908</v>
      </c>
      <c r="C32" s="5">
        <v>1.29</v>
      </c>
      <c r="D32" s="5">
        <v>17.11</v>
      </c>
      <c r="E32" s="5">
        <v>0.83</v>
      </c>
      <c r="F32" s="141">
        <v>0.64</v>
      </c>
      <c r="G32" s="5">
        <v>6.5248999999999997</v>
      </c>
      <c r="H32" s="5">
        <v>34.782600000000002</v>
      </c>
    </row>
    <row r="33" spans="1:8" ht="14.25" x14ac:dyDescent="0.45">
      <c r="A33" t="s">
        <v>39</v>
      </c>
      <c r="B33" s="15">
        <v>11243</v>
      </c>
      <c r="C33" s="40">
        <v>1.9</v>
      </c>
      <c r="D33" s="40">
        <v>6.8</v>
      </c>
      <c r="E33" s="5">
        <v>0.8</v>
      </c>
      <c r="F33" s="141">
        <v>0.3</v>
      </c>
      <c r="G33" s="5">
        <v>6.5248999999999997</v>
      </c>
      <c r="H33" s="5">
        <v>34.782600000000002</v>
      </c>
    </row>
    <row r="34" spans="1:8" ht="14.25" x14ac:dyDescent="0.45">
      <c r="A34" t="s">
        <v>40</v>
      </c>
      <c r="B34" s="15">
        <v>7930</v>
      </c>
      <c r="C34" s="40">
        <v>1.9</v>
      </c>
      <c r="D34" s="40">
        <v>6.8</v>
      </c>
      <c r="E34" s="5">
        <v>0.82</v>
      </c>
      <c r="F34" s="141">
        <v>0.46</v>
      </c>
      <c r="G34" s="5">
        <v>6.5248999999999997</v>
      </c>
      <c r="H34" s="5">
        <v>34.782600000000002</v>
      </c>
    </row>
    <row r="35" spans="1:8" ht="14.25" x14ac:dyDescent="0.45">
      <c r="A35" t="s">
        <v>41</v>
      </c>
      <c r="B35" s="15">
        <v>10005</v>
      </c>
      <c r="C35" s="5">
        <v>0.5</v>
      </c>
      <c r="D35" s="40">
        <v>6.8</v>
      </c>
      <c r="E35" s="5">
        <v>0.83</v>
      </c>
      <c r="F35" s="141">
        <v>0.25</v>
      </c>
      <c r="G35" s="5">
        <v>6.5248999999999997</v>
      </c>
      <c r="H35" s="5">
        <v>34.782600000000002</v>
      </c>
    </row>
    <row r="36" spans="1:8" ht="14.25" x14ac:dyDescent="0.45">
      <c r="A36" t="s">
        <v>42</v>
      </c>
      <c r="B36" s="15">
        <v>5246</v>
      </c>
      <c r="C36" s="5">
        <v>1.5</v>
      </c>
      <c r="D36" s="5">
        <v>0.75900000000000001</v>
      </c>
      <c r="E36" s="5">
        <v>0.83</v>
      </c>
      <c r="F36" s="141">
        <v>0.39</v>
      </c>
      <c r="G36" s="5">
        <v>6.5248999999999997</v>
      </c>
      <c r="H36" s="5">
        <v>34.782600000000002</v>
      </c>
    </row>
    <row r="37" spans="1:8" ht="14.25" x14ac:dyDescent="0.45">
      <c r="A37" t="s">
        <v>43</v>
      </c>
      <c r="B37" s="15">
        <v>6706</v>
      </c>
      <c r="C37" s="5">
        <v>0.24</v>
      </c>
      <c r="D37" s="40">
        <v>6.8</v>
      </c>
      <c r="E37" s="5">
        <v>0.82</v>
      </c>
      <c r="F37" s="141">
        <v>0.67</v>
      </c>
      <c r="G37" s="5">
        <v>6.5248999999999997</v>
      </c>
      <c r="H37" s="5">
        <v>34.782600000000002</v>
      </c>
    </row>
    <row r="38" spans="1:8" ht="14.25" x14ac:dyDescent="0.45">
      <c r="A38" t="s">
        <v>44</v>
      </c>
      <c r="B38" s="15">
        <v>6276</v>
      </c>
      <c r="C38" s="5">
        <v>1.63</v>
      </c>
      <c r="D38" s="5">
        <v>17.12</v>
      </c>
      <c r="E38" s="5">
        <v>0.85</v>
      </c>
      <c r="F38" s="141">
        <v>0.71</v>
      </c>
      <c r="G38" s="5">
        <v>6.5248999999999997</v>
      </c>
      <c r="H38" s="5">
        <v>34.782600000000002</v>
      </c>
    </row>
    <row r="39" spans="1:8" ht="14.25" x14ac:dyDescent="0.45">
      <c r="A39" t="s">
        <v>45</v>
      </c>
      <c r="B39" s="15">
        <v>10436</v>
      </c>
      <c r="C39" s="5">
        <v>0.24</v>
      </c>
      <c r="D39" s="40">
        <v>6.8</v>
      </c>
      <c r="E39" s="5">
        <v>0.8</v>
      </c>
      <c r="F39" s="141">
        <v>0.12</v>
      </c>
      <c r="G39" s="5">
        <v>6.5248999999999997</v>
      </c>
      <c r="H39" s="5">
        <v>34.782600000000002</v>
      </c>
    </row>
    <row r="40" spans="1:8" ht="14.25" x14ac:dyDescent="0.45">
      <c r="A40" t="s">
        <v>46</v>
      </c>
      <c r="B40" s="15">
        <v>9241</v>
      </c>
      <c r="C40" s="40">
        <v>1.85</v>
      </c>
      <c r="D40" s="40">
        <v>6.8</v>
      </c>
      <c r="E40" s="5">
        <v>0.8</v>
      </c>
      <c r="F40" s="141">
        <v>0.28000000000000003</v>
      </c>
      <c r="G40" s="5">
        <v>6.5248999999999997</v>
      </c>
      <c r="H40" s="5">
        <v>34.782600000000002</v>
      </c>
    </row>
    <row r="41" spans="1:8" ht="14.25" x14ac:dyDescent="0.45">
      <c r="A41" t="s">
        <v>47</v>
      </c>
      <c r="B41" s="15">
        <v>9595</v>
      </c>
      <c r="C41" s="5">
        <v>0.24</v>
      </c>
      <c r="D41" s="40">
        <v>6.8</v>
      </c>
      <c r="E41" s="5">
        <v>0.81</v>
      </c>
      <c r="F41" s="141">
        <v>0.72</v>
      </c>
      <c r="G41" s="5">
        <v>6.5248999999999997</v>
      </c>
      <c r="H41" s="5">
        <v>34.782600000000002</v>
      </c>
    </row>
    <row r="42" spans="1:8" ht="14.25" x14ac:dyDescent="0.45">
      <c r="A42" t="s">
        <v>48</v>
      </c>
      <c r="B42" s="5">
        <v>297</v>
      </c>
      <c r="C42" s="5">
        <v>0.71</v>
      </c>
      <c r="D42" s="5">
        <v>17.07</v>
      </c>
      <c r="E42" s="5">
        <v>0.83</v>
      </c>
      <c r="F42" s="141">
        <v>0.64</v>
      </c>
      <c r="G42" s="5">
        <v>6.5248999999999997</v>
      </c>
      <c r="H42" s="5">
        <v>34.782600000000002</v>
      </c>
    </row>
    <row r="43" spans="1:8" ht="14.25" x14ac:dyDescent="0.45">
      <c r="A43" t="s">
        <v>49</v>
      </c>
      <c r="B43" s="15">
        <v>16024</v>
      </c>
      <c r="C43" s="5">
        <v>0.68</v>
      </c>
      <c r="D43" s="40">
        <v>6.8</v>
      </c>
      <c r="E43" s="5">
        <v>0.84</v>
      </c>
      <c r="F43" s="141">
        <v>0.45</v>
      </c>
      <c r="G43" s="5">
        <v>6.5248999999999997</v>
      </c>
      <c r="H43" s="5">
        <v>34.782600000000002</v>
      </c>
    </row>
    <row r="44" spans="1:8" ht="14.25" x14ac:dyDescent="0.45">
      <c r="A44" t="s">
        <v>50</v>
      </c>
      <c r="B44" s="15">
        <v>11880</v>
      </c>
      <c r="C44" s="5">
        <v>0.24</v>
      </c>
      <c r="D44" s="40">
        <v>6.8</v>
      </c>
      <c r="E44" s="5">
        <v>0.78</v>
      </c>
      <c r="F44" s="141">
        <v>0.55000000000000004</v>
      </c>
      <c r="G44" s="5">
        <v>6.5248999999999997</v>
      </c>
      <c r="H44" s="5">
        <v>34.782600000000002</v>
      </c>
    </row>
    <row r="45" spans="1:8" ht="14.25" x14ac:dyDescent="0.45">
      <c r="A45" t="s">
        <v>51</v>
      </c>
      <c r="B45" s="15">
        <v>7773</v>
      </c>
      <c r="C45" s="40">
        <v>1.85</v>
      </c>
      <c r="D45" s="5">
        <v>12.45</v>
      </c>
      <c r="E45" s="40">
        <v>0.85</v>
      </c>
      <c r="F45" s="141">
        <v>0.08</v>
      </c>
      <c r="G45" s="5">
        <v>6.5248999999999997</v>
      </c>
      <c r="H45" s="5">
        <v>34.782600000000002</v>
      </c>
    </row>
    <row r="46" spans="1:8" ht="14.25" x14ac:dyDescent="0.45">
      <c r="A46" t="s">
        <v>52</v>
      </c>
      <c r="B46" s="15">
        <v>2740</v>
      </c>
      <c r="C46" s="40">
        <v>1.85</v>
      </c>
      <c r="D46" s="40" t="s">
        <v>53</v>
      </c>
      <c r="E46" s="5">
        <v>0.85</v>
      </c>
      <c r="F46" s="141">
        <v>0.54</v>
      </c>
      <c r="G46" s="5">
        <v>6.5248999999999997</v>
      </c>
      <c r="H46" s="5">
        <v>34.782600000000002</v>
      </c>
    </row>
    <row r="47" spans="1:8" ht="14.25" x14ac:dyDescent="0.45">
      <c r="A47" t="s">
        <v>54</v>
      </c>
      <c r="B47" s="15">
        <v>8801</v>
      </c>
      <c r="C47" s="5">
        <v>0.24</v>
      </c>
      <c r="D47" s="40">
        <v>6.8</v>
      </c>
      <c r="E47" s="5">
        <v>0.82</v>
      </c>
      <c r="F47" s="141">
        <v>0.4</v>
      </c>
      <c r="G47" s="5">
        <v>6.5248999999999997</v>
      </c>
      <c r="H47" s="5">
        <v>34.782600000000002</v>
      </c>
    </row>
    <row r="48" spans="1:8" ht="14.25" x14ac:dyDescent="0.45">
      <c r="A48" t="s">
        <v>55</v>
      </c>
      <c r="B48" s="15">
        <v>10463</v>
      </c>
      <c r="C48" s="5">
        <v>1.63</v>
      </c>
      <c r="D48" s="40">
        <v>6.8</v>
      </c>
      <c r="E48" s="91">
        <v>0.9</v>
      </c>
      <c r="F48" s="141">
        <v>0.11</v>
      </c>
      <c r="G48" s="5">
        <v>6.5248999999999997</v>
      </c>
      <c r="H48" s="5">
        <v>34.782600000000002</v>
      </c>
    </row>
    <row r="49" spans="1:8" ht="14.25" x14ac:dyDescent="0.45">
      <c r="A49" t="s">
        <v>56</v>
      </c>
      <c r="B49" s="15">
        <v>8525</v>
      </c>
      <c r="C49" s="5">
        <v>0.24</v>
      </c>
      <c r="D49" s="5">
        <v>12.48</v>
      </c>
      <c r="E49" s="5">
        <v>0.83</v>
      </c>
      <c r="F49" s="141">
        <v>0.03</v>
      </c>
      <c r="G49" s="5">
        <v>6.5248999999999997</v>
      </c>
      <c r="H49" s="5">
        <v>34.782600000000002</v>
      </c>
    </row>
    <row r="50" spans="1:8" ht="14.25" x14ac:dyDescent="0.45">
      <c r="A50" t="s">
        <v>57</v>
      </c>
      <c r="B50" s="15">
        <v>10542</v>
      </c>
      <c r="C50" s="5">
        <v>0.74</v>
      </c>
      <c r="D50" s="40" t="s">
        <v>53</v>
      </c>
      <c r="E50" s="91">
        <v>4.1000000000000002E-2</v>
      </c>
      <c r="F50" s="141">
        <v>0.51</v>
      </c>
      <c r="G50" s="5">
        <v>6.5248999999999997</v>
      </c>
      <c r="H50" s="5">
        <v>34.782600000000002</v>
      </c>
    </row>
    <row r="51" spans="1:8" ht="14.25" x14ac:dyDescent="0.45">
      <c r="A51" t="s">
        <v>58</v>
      </c>
      <c r="B51" s="15">
        <v>3661</v>
      </c>
      <c r="C51" s="40">
        <v>1.85</v>
      </c>
      <c r="D51" s="40">
        <v>6.8</v>
      </c>
      <c r="E51" s="5">
        <v>0.83</v>
      </c>
      <c r="F51" s="141">
        <v>0.06</v>
      </c>
      <c r="G51" s="5">
        <v>6.5248999999999997</v>
      </c>
      <c r="H51" s="5">
        <v>34.782600000000002</v>
      </c>
    </row>
    <row r="52" spans="1:8" ht="14.25" x14ac:dyDescent="0.45">
      <c r="A52" t="s">
        <v>59</v>
      </c>
      <c r="B52" s="15">
        <v>10163</v>
      </c>
      <c r="C52" s="5">
        <v>0.24</v>
      </c>
      <c r="D52" s="5">
        <v>3.96</v>
      </c>
      <c r="E52" s="5">
        <v>0.8</v>
      </c>
      <c r="F52" s="141">
        <v>0.02</v>
      </c>
      <c r="G52" s="5">
        <v>6.5248999999999997</v>
      </c>
      <c r="H52" s="5">
        <v>34.782600000000002</v>
      </c>
    </row>
    <row r="53" spans="1:8" ht="14.25" x14ac:dyDescent="0.45">
      <c r="A53" t="s">
        <v>60</v>
      </c>
      <c r="B53" s="15">
        <v>5637</v>
      </c>
      <c r="C53" s="5">
        <v>0.24</v>
      </c>
      <c r="D53" s="5">
        <v>4.0599999999999996</v>
      </c>
      <c r="E53" s="5">
        <v>0.82</v>
      </c>
      <c r="F53" s="141">
        <v>0.65</v>
      </c>
      <c r="G53" s="5">
        <v>6.5248999999999997</v>
      </c>
      <c r="H53" s="5">
        <v>34.782600000000002</v>
      </c>
    </row>
    <row r="54" spans="1:8" ht="14.25" x14ac:dyDescent="0.45">
      <c r="A54" t="s">
        <v>61</v>
      </c>
      <c r="B54" s="15">
        <v>4856</v>
      </c>
      <c r="C54" s="5">
        <v>0.24</v>
      </c>
      <c r="D54" s="5">
        <v>17.5</v>
      </c>
      <c r="E54" s="5">
        <v>0.83</v>
      </c>
      <c r="F54" s="141">
        <v>0.51</v>
      </c>
      <c r="G54" s="5">
        <v>6.5248999999999997</v>
      </c>
      <c r="H54" s="5">
        <v>34.782600000000002</v>
      </c>
    </row>
    <row r="55" spans="1:8" ht="14.25" x14ac:dyDescent="0.45">
      <c r="A55" t="s">
        <v>62</v>
      </c>
      <c r="B55" s="15">
        <v>2355</v>
      </c>
      <c r="C55" s="5">
        <v>0.24</v>
      </c>
      <c r="D55" s="5">
        <v>15</v>
      </c>
      <c r="E55" s="5">
        <v>0.85</v>
      </c>
      <c r="F55" s="141">
        <v>0.52</v>
      </c>
      <c r="G55" s="5">
        <v>6.5248999999999997</v>
      </c>
      <c r="H55" s="5">
        <v>34.782600000000002</v>
      </c>
    </row>
    <row r="56" spans="1:8" ht="14.25" x14ac:dyDescent="0.45">
      <c r="A56" t="s">
        <v>63</v>
      </c>
      <c r="B56" s="15">
        <v>11775</v>
      </c>
      <c r="C56" s="5" t="s">
        <v>630</v>
      </c>
      <c r="D56" s="5">
        <v>8.5</v>
      </c>
      <c r="E56" s="5">
        <v>0.8</v>
      </c>
      <c r="F56" s="141">
        <v>0.28999999999999998</v>
      </c>
      <c r="G56" s="5">
        <v>6.5248999999999997</v>
      </c>
      <c r="H56" s="5">
        <v>34.782600000000002</v>
      </c>
    </row>
    <row r="57" spans="1:8" ht="14.25" x14ac:dyDescent="0.45">
      <c r="A57" t="s">
        <v>64</v>
      </c>
      <c r="B57" s="15">
        <v>19122</v>
      </c>
      <c r="C57" s="5">
        <v>0.76</v>
      </c>
      <c r="D57" s="5">
        <v>14.5</v>
      </c>
      <c r="E57" s="5">
        <v>0.81</v>
      </c>
      <c r="F57" s="141">
        <v>0.26</v>
      </c>
      <c r="G57" s="5">
        <v>6.5248999999999997</v>
      </c>
      <c r="H57" s="5">
        <v>34.782600000000002</v>
      </c>
    </row>
    <row r="58" spans="1:8" ht="14.25" x14ac:dyDescent="0.45">
      <c r="A58" t="s">
        <v>65</v>
      </c>
      <c r="B58" s="15">
        <v>9518</v>
      </c>
      <c r="C58" s="5">
        <v>1.26</v>
      </c>
      <c r="D58" s="5">
        <v>18</v>
      </c>
      <c r="E58" s="5">
        <v>0.78</v>
      </c>
      <c r="F58" s="141">
        <v>0.7</v>
      </c>
      <c r="G58" s="5">
        <v>6.5248999999999997</v>
      </c>
      <c r="H58" s="5">
        <v>34.782600000000002</v>
      </c>
    </row>
    <row r="59" spans="1:8" ht="14.25" x14ac:dyDescent="0.45">
      <c r="A59" t="s">
        <v>66</v>
      </c>
      <c r="B59" s="15">
        <v>6229</v>
      </c>
      <c r="C59" s="5">
        <v>0.24</v>
      </c>
      <c r="D59" s="5">
        <v>14</v>
      </c>
      <c r="E59" s="5">
        <v>0.82</v>
      </c>
      <c r="F59" s="141">
        <v>0.6</v>
      </c>
      <c r="G59" s="5">
        <v>6.5248999999999997</v>
      </c>
      <c r="H59" s="5">
        <v>34.782600000000002</v>
      </c>
    </row>
    <row r="60" spans="1:8" ht="14.25" x14ac:dyDescent="0.45">
      <c r="A60" t="s">
        <v>67</v>
      </c>
      <c r="B60" s="15">
        <v>9034</v>
      </c>
      <c r="C60" s="5">
        <v>1.1499999999999999</v>
      </c>
      <c r="D60" s="5">
        <v>3.93</v>
      </c>
      <c r="E60" s="5">
        <v>0.8</v>
      </c>
      <c r="F60" s="141">
        <v>0.33</v>
      </c>
      <c r="G60" s="5">
        <v>6.5248999999999997</v>
      </c>
      <c r="H60" s="5">
        <v>34.782600000000002</v>
      </c>
    </row>
    <row r="61" spans="1:8" ht="14.25" x14ac:dyDescent="0.45">
      <c r="A61" t="s">
        <v>68</v>
      </c>
      <c r="B61" s="15">
        <v>6688</v>
      </c>
      <c r="C61" s="5">
        <v>1.0900000000000001</v>
      </c>
      <c r="D61" s="5">
        <v>3.96</v>
      </c>
      <c r="E61" s="5">
        <v>0.91</v>
      </c>
      <c r="F61" s="141">
        <v>0.34</v>
      </c>
      <c r="G61" s="5">
        <v>6.5248999999999997</v>
      </c>
      <c r="H61" s="5">
        <v>34.782600000000002</v>
      </c>
    </row>
    <row r="62" spans="1:8" ht="14.25" x14ac:dyDescent="0.45">
      <c r="A62" t="s">
        <v>69</v>
      </c>
      <c r="B62" s="15">
        <v>6785</v>
      </c>
      <c r="C62" s="5">
        <v>0.35</v>
      </c>
      <c r="D62" s="5">
        <v>4.0999999999999996</v>
      </c>
      <c r="E62" s="5">
        <v>0.82</v>
      </c>
      <c r="F62" s="141">
        <v>0.62</v>
      </c>
      <c r="G62" s="5">
        <v>6.5248999999999997</v>
      </c>
      <c r="H62" s="5">
        <v>34.782600000000002</v>
      </c>
    </row>
    <row r="63" spans="1:8" ht="14.25" x14ac:dyDescent="0.45">
      <c r="A63" t="s">
        <v>70</v>
      </c>
      <c r="B63" s="15">
        <v>9323</v>
      </c>
      <c r="C63" s="5">
        <v>1.53</v>
      </c>
      <c r="D63" s="5">
        <v>16</v>
      </c>
      <c r="E63" s="5">
        <v>0.8</v>
      </c>
      <c r="F63" s="141">
        <v>0.39</v>
      </c>
      <c r="G63" s="5">
        <v>6.5248999999999997</v>
      </c>
      <c r="H63" s="5">
        <v>34.782600000000002</v>
      </c>
    </row>
    <row r="64" spans="1:8" ht="14.25" x14ac:dyDescent="0.45">
      <c r="A64" t="s">
        <v>71</v>
      </c>
      <c r="B64" s="5">
        <v>0</v>
      </c>
      <c r="C64" s="5">
        <v>0.24</v>
      </c>
      <c r="D64" s="5">
        <v>13</v>
      </c>
      <c r="E64" s="91">
        <v>0.6</v>
      </c>
      <c r="F64" s="141">
        <v>0.42</v>
      </c>
      <c r="G64" s="5">
        <v>6.5248999999999997</v>
      </c>
      <c r="H64" s="5">
        <v>34.782600000000002</v>
      </c>
    </row>
    <row r="65" spans="1:8" ht="14.25" x14ac:dyDescent="0.45">
      <c r="A65" t="s">
        <v>72</v>
      </c>
      <c r="B65" s="15">
        <v>9457</v>
      </c>
      <c r="C65" s="5">
        <v>1.63</v>
      </c>
      <c r="D65" s="5">
        <v>3.96</v>
      </c>
      <c r="E65" s="5">
        <v>0.8</v>
      </c>
      <c r="F65" s="141">
        <v>0.2</v>
      </c>
      <c r="G65" s="5">
        <v>6.5248999999999997</v>
      </c>
      <c r="H65" s="5">
        <v>34.782600000000002</v>
      </c>
    </row>
    <row r="66" spans="1:8" ht="14.25" x14ac:dyDescent="0.45">
      <c r="A66" t="s">
        <v>73</v>
      </c>
      <c r="B66" s="15">
        <v>2656</v>
      </c>
      <c r="C66" s="40">
        <v>1.85</v>
      </c>
      <c r="D66" s="40">
        <v>6.8</v>
      </c>
      <c r="E66" s="5">
        <v>0.83</v>
      </c>
      <c r="F66" s="141">
        <v>0.47</v>
      </c>
      <c r="G66" s="5">
        <v>6.5248999999999997</v>
      </c>
      <c r="H66" s="5">
        <v>34.782600000000002</v>
      </c>
    </row>
    <row r="67" spans="1:8" ht="14.25" x14ac:dyDescent="0.45">
      <c r="A67" t="s">
        <v>74</v>
      </c>
      <c r="B67" s="15">
        <v>4564</v>
      </c>
      <c r="C67" s="5">
        <v>1.34</v>
      </c>
      <c r="D67" s="5">
        <v>0.83</v>
      </c>
      <c r="E67" s="91">
        <v>0.6</v>
      </c>
      <c r="F67" s="141">
        <v>0.5</v>
      </c>
      <c r="G67" s="5">
        <v>6.5248999999999997</v>
      </c>
      <c r="H67" s="5">
        <v>34.782600000000002</v>
      </c>
    </row>
    <row r="68" spans="1:8" ht="14.25" x14ac:dyDescent="0.45">
      <c r="A68" t="s">
        <v>75</v>
      </c>
      <c r="B68" s="15">
        <v>9802</v>
      </c>
      <c r="C68" s="5">
        <v>0.24</v>
      </c>
      <c r="D68" s="5">
        <v>3.96</v>
      </c>
      <c r="E68" s="5">
        <v>0.8</v>
      </c>
      <c r="F68" s="141">
        <v>0.25</v>
      </c>
      <c r="G68" s="5">
        <v>6.5248999999999997</v>
      </c>
      <c r="H68" s="5">
        <v>34.782600000000002</v>
      </c>
    </row>
    <row r="69" spans="1:8" ht="14.25" x14ac:dyDescent="0.45">
      <c r="A69" t="s">
        <v>76</v>
      </c>
      <c r="B69" s="15">
        <v>7638</v>
      </c>
      <c r="C69" s="5">
        <v>0.75</v>
      </c>
      <c r="D69" s="40">
        <v>6.8</v>
      </c>
      <c r="E69" s="5">
        <v>0.82</v>
      </c>
      <c r="F69" s="141">
        <v>0.72</v>
      </c>
      <c r="G69" s="5">
        <v>6.5248999999999997</v>
      </c>
      <c r="H69" s="5">
        <v>34.782600000000002</v>
      </c>
    </row>
    <row r="70" spans="1:8" ht="14.25" x14ac:dyDescent="0.45">
      <c r="A70" t="s">
        <v>77</v>
      </c>
      <c r="B70" s="15">
        <v>9207</v>
      </c>
      <c r="C70" s="5">
        <v>1.28</v>
      </c>
      <c r="D70" s="40">
        <v>6.8</v>
      </c>
      <c r="E70" s="5">
        <v>0.67100000000000004</v>
      </c>
      <c r="F70" s="141">
        <v>0.74</v>
      </c>
      <c r="G70" s="5">
        <v>6.5248999999999997</v>
      </c>
      <c r="H70" s="5">
        <v>34.782600000000002</v>
      </c>
    </row>
    <row r="71" spans="1:8" ht="14.25" x14ac:dyDescent="0.45">
      <c r="A71" t="s">
        <v>78</v>
      </c>
      <c r="B71" s="15">
        <v>10935</v>
      </c>
      <c r="C71" s="5">
        <v>0.52</v>
      </c>
      <c r="D71" s="40">
        <v>6.8</v>
      </c>
      <c r="E71" s="5">
        <v>0.79</v>
      </c>
      <c r="F71" s="141">
        <v>0.17</v>
      </c>
      <c r="G71" s="5">
        <v>6.5248999999999997</v>
      </c>
      <c r="H71" s="5">
        <v>34.782600000000002</v>
      </c>
    </row>
    <row r="72" spans="1:8" ht="14.25" x14ac:dyDescent="0.45">
      <c r="A72" t="s">
        <v>79</v>
      </c>
      <c r="B72" s="15">
        <v>9604</v>
      </c>
      <c r="C72" s="5">
        <v>1.26</v>
      </c>
      <c r="D72" s="5">
        <v>3.96</v>
      </c>
      <c r="E72" s="5">
        <v>0.8</v>
      </c>
      <c r="F72" s="141">
        <v>0.02</v>
      </c>
      <c r="G72" s="5">
        <v>6.5248999999999997</v>
      </c>
      <c r="H72" s="5">
        <v>34.782600000000002</v>
      </c>
    </row>
    <row r="73" spans="1:8" ht="14.25" x14ac:dyDescent="0.45">
      <c r="A73" t="s">
        <v>80</v>
      </c>
      <c r="B73" s="15">
        <v>10316</v>
      </c>
      <c r="C73" s="5">
        <v>0.24</v>
      </c>
      <c r="D73" s="40">
        <v>6.8</v>
      </c>
      <c r="E73" s="5">
        <v>0.8</v>
      </c>
      <c r="F73" s="141">
        <v>0.03</v>
      </c>
      <c r="G73" s="5">
        <v>6.5248999999999997</v>
      </c>
      <c r="H73" s="5">
        <v>34.782600000000002</v>
      </c>
    </row>
    <row r="74" spans="1:8" ht="14.25" x14ac:dyDescent="0.45">
      <c r="A74" t="s">
        <v>81</v>
      </c>
      <c r="B74" s="15">
        <v>1468</v>
      </c>
      <c r="C74" s="5">
        <v>0.24</v>
      </c>
      <c r="D74" s="40">
        <v>6.8</v>
      </c>
      <c r="E74" s="5">
        <v>0.82</v>
      </c>
      <c r="F74" s="141">
        <v>0.55000000000000004</v>
      </c>
      <c r="G74" s="5">
        <v>6.5248999999999997</v>
      </c>
      <c r="H74" s="5">
        <v>34.782600000000002</v>
      </c>
    </row>
    <row r="75" spans="1:8" ht="14.25" x14ac:dyDescent="0.45">
      <c r="A75" t="s">
        <v>82</v>
      </c>
      <c r="B75" s="15">
        <v>8070</v>
      </c>
      <c r="C75" s="5">
        <v>0.53</v>
      </c>
      <c r="D75" s="5">
        <v>16.91</v>
      </c>
      <c r="E75" s="5">
        <v>0.82</v>
      </c>
      <c r="F75" s="141">
        <v>0.42</v>
      </c>
      <c r="G75" s="5">
        <v>6.5248999999999997</v>
      </c>
      <c r="H75" s="5">
        <v>34.782600000000002</v>
      </c>
    </row>
    <row r="76" spans="1:8" ht="14.25" x14ac:dyDescent="0.45">
      <c r="A76" t="s">
        <v>83</v>
      </c>
      <c r="B76" s="15">
        <v>3094</v>
      </c>
      <c r="C76" s="5">
        <v>1.4</v>
      </c>
      <c r="D76" s="40">
        <v>6.8</v>
      </c>
      <c r="E76" s="5">
        <v>0.83</v>
      </c>
      <c r="F76" s="141">
        <v>0.56999999999999995</v>
      </c>
      <c r="G76" s="5">
        <v>6.5248999999999997</v>
      </c>
      <c r="H76" s="5">
        <v>34.782600000000002</v>
      </c>
    </row>
    <row r="77" spans="1:8" ht="14.25" x14ac:dyDescent="0.45">
      <c r="A77" t="s">
        <v>84</v>
      </c>
      <c r="B77" s="15">
        <v>8618</v>
      </c>
      <c r="C77" s="5">
        <v>1.92</v>
      </c>
      <c r="D77" s="40">
        <v>6.8</v>
      </c>
      <c r="E77" s="5">
        <v>0.87</v>
      </c>
      <c r="F77" s="141">
        <v>0.41</v>
      </c>
      <c r="G77" s="5">
        <v>6.5248999999999997</v>
      </c>
      <c r="H77" s="5">
        <v>34.782600000000002</v>
      </c>
    </row>
    <row r="78" spans="1:8" ht="14.25" x14ac:dyDescent="0.45">
      <c r="A78" t="s">
        <v>85</v>
      </c>
      <c r="B78" s="15">
        <v>6806</v>
      </c>
      <c r="C78" s="5">
        <v>1.51</v>
      </c>
      <c r="D78" s="5">
        <v>3.92</v>
      </c>
      <c r="E78" s="5">
        <v>0.82</v>
      </c>
      <c r="F78" s="141">
        <v>0.2</v>
      </c>
      <c r="G78" s="5">
        <v>6.5248999999999997</v>
      </c>
      <c r="H78" s="5">
        <v>34.782600000000002</v>
      </c>
    </row>
    <row r="79" spans="1:8" ht="14.25" x14ac:dyDescent="0.45">
      <c r="A79" t="s">
        <v>86</v>
      </c>
      <c r="B79" s="15">
        <v>7946</v>
      </c>
      <c r="C79" s="40">
        <v>1.85</v>
      </c>
      <c r="D79" s="40">
        <v>6.8</v>
      </c>
      <c r="E79" s="5">
        <v>0.81</v>
      </c>
      <c r="F79" s="141">
        <v>0.09</v>
      </c>
      <c r="G79" s="5">
        <v>6.5248999999999997</v>
      </c>
      <c r="H79" s="5">
        <v>34.782600000000002</v>
      </c>
    </row>
    <row r="80" spans="1:8" ht="14.25" x14ac:dyDescent="0.45">
      <c r="A80" t="s">
        <v>87</v>
      </c>
      <c r="B80" s="15">
        <v>5931</v>
      </c>
      <c r="C80" s="5">
        <v>1.63</v>
      </c>
      <c r="D80" s="40">
        <v>6.8</v>
      </c>
      <c r="E80" s="5">
        <v>0.88</v>
      </c>
      <c r="F80" s="141">
        <v>0.65</v>
      </c>
      <c r="G80" s="5">
        <v>6.5248999999999997</v>
      </c>
      <c r="H80" s="5">
        <v>34.782600000000002</v>
      </c>
    </row>
    <row r="81" spans="1:8" ht="14.25" x14ac:dyDescent="0.45">
      <c r="A81" t="s">
        <v>88</v>
      </c>
      <c r="B81" s="15">
        <v>5909</v>
      </c>
      <c r="C81" s="5">
        <v>0.24</v>
      </c>
      <c r="D81" s="40">
        <v>6.8</v>
      </c>
      <c r="E81" s="5">
        <v>0.82</v>
      </c>
      <c r="F81" s="141">
        <v>0.63</v>
      </c>
      <c r="G81" s="5">
        <v>6.5248999999999997</v>
      </c>
      <c r="H81" s="5">
        <v>34.782600000000002</v>
      </c>
    </row>
    <row r="82" spans="1:8" ht="14.25" x14ac:dyDescent="0.45">
      <c r="A82" t="s">
        <v>89</v>
      </c>
      <c r="B82" s="15">
        <v>9054</v>
      </c>
      <c r="C82" s="5">
        <v>0.57999999999999996</v>
      </c>
      <c r="D82" s="5">
        <v>3.82</v>
      </c>
      <c r="E82" s="5">
        <v>0.85</v>
      </c>
      <c r="F82" s="141">
        <v>0.38</v>
      </c>
      <c r="G82" s="5">
        <v>6.5248999999999997</v>
      </c>
      <c r="H82" s="5">
        <v>34.782600000000002</v>
      </c>
    </row>
    <row r="83" spans="1:8" ht="14.25" x14ac:dyDescent="0.45">
      <c r="A83" t="s">
        <v>90</v>
      </c>
      <c r="B83" s="15">
        <v>2205</v>
      </c>
      <c r="C83" s="5">
        <v>1.42</v>
      </c>
      <c r="D83" s="5">
        <v>1.89</v>
      </c>
      <c r="E83" s="5">
        <v>0.83</v>
      </c>
      <c r="F83" s="141">
        <v>0.64</v>
      </c>
      <c r="G83" s="5">
        <v>6.5248999999999997</v>
      </c>
      <c r="H83" s="5">
        <v>34.782600000000002</v>
      </c>
    </row>
    <row r="84" spans="1:8" ht="14.25" x14ac:dyDescent="0.45">
      <c r="B84" s="15"/>
      <c r="C84" s="5"/>
      <c r="D84" s="5"/>
      <c r="E84" s="5"/>
      <c r="F84" s="5"/>
    </row>
    <row r="85" spans="1:8" ht="14.25" x14ac:dyDescent="0.45">
      <c r="B85" s="15"/>
      <c r="C85" s="5"/>
      <c r="D85" s="5"/>
      <c r="E85" s="5"/>
    </row>
    <row r="86" spans="1:8" ht="14.25" x14ac:dyDescent="0.45">
      <c r="B86" s="15"/>
      <c r="C86" s="5"/>
      <c r="D86" s="5"/>
      <c r="E86" s="5"/>
    </row>
  </sheetData>
  <sortState xmlns:xlrd2="http://schemas.microsoft.com/office/spreadsheetml/2017/richdata2" ref="A2:L65">
    <sortCondition ref="A6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BF25-6E1B-4ABE-8D5A-6298F4CF417E}">
  <dimension ref="A1:A6"/>
  <sheetViews>
    <sheetView workbookViewId="0">
      <selection activeCell="C4" sqref="C4"/>
    </sheetView>
  </sheetViews>
  <sheetFormatPr defaultRowHeight="14.25" x14ac:dyDescent="0.45"/>
  <cols>
    <col min="1" max="1" width="17.6640625" customWidth="1"/>
    <col min="2" max="2" width="10.1328125" customWidth="1"/>
  </cols>
  <sheetData>
    <row r="1" spans="1:1" x14ac:dyDescent="0.45">
      <c r="A1" s="1" t="s">
        <v>238</v>
      </c>
    </row>
    <row r="2" spans="1:1" x14ac:dyDescent="0.45">
      <c r="A2" s="5" t="s">
        <v>220</v>
      </c>
    </row>
    <row r="3" spans="1:1" x14ac:dyDescent="0.45">
      <c r="A3" s="5" t="s">
        <v>239</v>
      </c>
    </row>
    <row r="4" spans="1:1" x14ac:dyDescent="0.45">
      <c r="A4" s="5" t="s">
        <v>240</v>
      </c>
    </row>
    <row r="5" spans="1:1" x14ac:dyDescent="0.45">
      <c r="A5" s="5" t="s">
        <v>241</v>
      </c>
    </row>
    <row r="6" spans="1:1" x14ac:dyDescent="0.45">
      <c r="A6" s="5" t="s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8515-21DA-4E34-8208-57D76FDC375B}">
  <dimension ref="A1:BA87"/>
  <sheetViews>
    <sheetView workbookViewId="0">
      <selection activeCell="D8" sqref="D8"/>
    </sheetView>
  </sheetViews>
  <sheetFormatPr defaultRowHeight="14.25" x14ac:dyDescent="0.45"/>
  <cols>
    <col min="1" max="1" width="17.33203125" bestFit="1" customWidth="1"/>
    <col min="2" max="2" width="30.6640625" bestFit="1" customWidth="1"/>
    <col min="3" max="3" width="24" bestFit="1" customWidth="1"/>
    <col min="4" max="4" width="17" bestFit="1" customWidth="1"/>
    <col min="5" max="5" width="19.6640625" bestFit="1" customWidth="1"/>
    <col min="6" max="6" width="15.6640625" bestFit="1" customWidth="1"/>
    <col min="7" max="7" width="17.86328125" bestFit="1" customWidth="1"/>
    <col min="8" max="8" width="9.6640625" bestFit="1" customWidth="1"/>
    <col min="9" max="9" width="31" bestFit="1" customWidth="1"/>
    <col min="10" max="10" width="14.86328125" bestFit="1" customWidth="1"/>
    <col min="11" max="11" width="18.19921875" bestFit="1" customWidth="1"/>
    <col min="12" max="12" width="15.6640625" bestFit="1" customWidth="1"/>
    <col min="13" max="13" width="30.6640625" bestFit="1" customWidth="1"/>
    <col min="14" max="14" width="9.6640625" bestFit="1" customWidth="1"/>
    <col min="15" max="15" width="10.6640625" bestFit="1" customWidth="1"/>
    <col min="16" max="16" width="11.796875" bestFit="1" customWidth="1"/>
    <col min="17" max="17" width="13.796875" bestFit="1" customWidth="1"/>
    <col min="18" max="18" width="30.6640625" bestFit="1" customWidth="1"/>
    <col min="19" max="19" width="9.6640625" bestFit="1" customWidth="1"/>
    <col min="20" max="20" width="10.6640625" bestFit="1" customWidth="1"/>
    <col min="21" max="21" width="11.796875" bestFit="1" customWidth="1"/>
    <col min="22" max="22" width="13.796875" bestFit="1" customWidth="1"/>
    <col min="23" max="23" width="18" bestFit="1" customWidth="1"/>
    <col min="24" max="24" width="17" bestFit="1" customWidth="1"/>
    <col min="25" max="25" width="19.6640625" bestFit="1" customWidth="1"/>
    <col min="26" max="27" width="9.6640625" bestFit="1" customWidth="1"/>
    <col min="28" max="28" width="11.796875" bestFit="1" customWidth="1"/>
    <col min="29" max="29" width="8.1328125" bestFit="1" customWidth="1"/>
    <col min="30" max="30" width="20.33203125" bestFit="1" customWidth="1"/>
    <col min="31" max="31" width="8.1328125" bestFit="1" customWidth="1"/>
    <col min="32" max="32" width="18.19921875" bestFit="1" customWidth="1"/>
    <col min="34" max="34" width="18.19921875" bestFit="1" customWidth="1"/>
    <col min="36" max="36" width="13.796875" bestFit="1" customWidth="1"/>
    <col min="37" max="37" width="8.1328125" bestFit="1" customWidth="1"/>
    <col min="38" max="38" width="12.6640625" bestFit="1" customWidth="1"/>
    <col min="39" max="39" width="8.1328125" bestFit="1" customWidth="1"/>
    <col min="40" max="40" width="20.33203125" bestFit="1" customWidth="1"/>
    <col min="42" max="42" width="24" bestFit="1" customWidth="1"/>
    <col min="43" max="43" width="8.1328125" bestFit="1" customWidth="1"/>
    <col min="44" max="44" width="15" bestFit="1" customWidth="1"/>
    <col min="45" max="45" width="8.1328125" bestFit="1" customWidth="1"/>
    <col min="46" max="46" width="11.796875" bestFit="1" customWidth="1"/>
    <col min="47" max="47" width="8.1328125" bestFit="1" customWidth="1"/>
    <col min="48" max="48" width="10.86328125" bestFit="1" customWidth="1"/>
    <col min="49" max="49" width="8.1328125" bestFit="1" customWidth="1"/>
    <col min="50" max="50" width="8.19921875" bestFit="1" customWidth="1"/>
    <col min="51" max="51" width="8.1328125" bestFit="1" customWidth="1"/>
    <col min="52" max="52" width="7.19921875" bestFit="1" customWidth="1"/>
    <col min="53" max="53" width="8.1328125" bestFit="1" customWidth="1"/>
  </cols>
  <sheetData>
    <row r="1" spans="1:53" ht="14.65" thickBot="1" x14ac:dyDescent="0.5">
      <c r="A1" s="4" t="s">
        <v>91</v>
      </c>
      <c r="B1" s="4" t="s">
        <v>92</v>
      </c>
      <c r="C1" s="5" t="s">
        <v>93</v>
      </c>
      <c r="D1" s="5" t="s">
        <v>94</v>
      </c>
      <c r="E1" s="5" t="s">
        <v>95</v>
      </c>
      <c r="F1" s="5" t="s">
        <v>96</v>
      </c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5"/>
      <c r="AO1" s="255"/>
      <c r="AP1" s="255"/>
      <c r="AQ1" s="255"/>
      <c r="AR1" s="255"/>
      <c r="AS1" s="255"/>
      <c r="AT1" s="255"/>
      <c r="AU1" s="255"/>
      <c r="AV1" s="255"/>
      <c r="AW1" s="255"/>
      <c r="AX1" s="255"/>
      <c r="AY1" s="255"/>
      <c r="AZ1" s="255"/>
      <c r="BA1" s="255"/>
    </row>
    <row r="2" spans="1:53" ht="15.75" x14ac:dyDescent="0.5">
      <c r="A2" s="268" t="s">
        <v>97</v>
      </c>
      <c r="B2" s="24" t="s">
        <v>98</v>
      </c>
      <c r="C2" s="22" t="s">
        <v>99</v>
      </c>
      <c r="D2" s="28">
        <v>3.746E-2</v>
      </c>
      <c r="E2" s="28">
        <v>5.6140000000000002E-2</v>
      </c>
      <c r="F2" s="29">
        <v>9.4299999999999991E-3</v>
      </c>
      <c r="I2" s="96"/>
      <c r="J2" s="5"/>
      <c r="K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D2" s="257"/>
      <c r="AE2" s="257"/>
      <c r="AF2" s="257"/>
      <c r="AG2" s="257"/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5"/>
      <c r="AX2" s="255"/>
      <c r="AY2" s="255"/>
      <c r="AZ2" s="255"/>
      <c r="BA2" s="255"/>
    </row>
    <row r="3" spans="1:53" x14ac:dyDescent="0.45">
      <c r="A3" s="269"/>
      <c r="B3" s="25" t="s">
        <v>100</v>
      </c>
      <c r="C3" s="21" t="s">
        <v>99</v>
      </c>
      <c r="D3" s="30">
        <v>4.6019999999999998E-2</v>
      </c>
      <c r="E3" s="30">
        <v>6.0740000000000002E-2</v>
      </c>
      <c r="F3" s="31">
        <v>1.4540000000000001E-2</v>
      </c>
      <c r="I3" s="5"/>
      <c r="J3" s="95"/>
      <c r="K3" s="7"/>
      <c r="L3" s="7"/>
      <c r="M3" s="5"/>
      <c r="N3" s="7"/>
      <c r="O3" s="7"/>
      <c r="P3" s="7"/>
      <c r="Q3" s="7"/>
      <c r="R3" s="5"/>
      <c r="S3" s="7"/>
      <c r="T3" s="7"/>
      <c r="U3" s="7"/>
      <c r="V3" s="7"/>
      <c r="W3" s="5"/>
      <c r="X3" s="7"/>
      <c r="Y3" s="5"/>
      <c r="Z3" s="5"/>
      <c r="AA3" s="5"/>
      <c r="AB3" s="5"/>
      <c r="AC3" s="7"/>
      <c r="AD3" s="5"/>
      <c r="AF3" s="5"/>
      <c r="AH3" s="5"/>
      <c r="AJ3" s="5"/>
      <c r="AL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spans="1:53" x14ac:dyDescent="0.45">
      <c r="A4" s="269"/>
      <c r="B4" s="25" t="s">
        <v>237</v>
      </c>
      <c r="C4" s="21" t="s">
        <v>99</v>
      </c>
      <c r="D4" s="30">
        <v>6.7059999999999995E-2</v>
      </c>
      <c r="E4" s="30">
        <v>9.783E-2</v>
      </c>
      <c r="F4" s="31">
        <v>1.9789999999999999E-2</v>
      </c>
      <c r="I4" s="5"/>
      <c r="J4" s="95"/>
      <c r="K4" s="7"/>
      <c r="L4" s="7"/>
      <c r="M4" s="5"/>
      <c r="N4" s="7"/>
      <c r="O4" s="7"/>
      <c r="P4" s="7"/>
      <c r="Q4" s="7"/>
      <c r="R4" s="5"/>
      <c r="S4" s="7"/>
      <c r="T4" s="7"/>
      <c r="U4" s="7"/>
      <c r="V4" s="7"/>
      <c r="W4" s="5"/>
      <c r="X4" s="61"/>
      <c r="Y4" s="61"/>
      <c r="Z4" s="5"/>
      <c r="AA4" s="5"/>
      <c r="AD4" s="7"/>
      <c r="AE4" s="7"/>
      <c r="AF4" s="7"/>
      <c r="AG4" s="7"/>
      <c r="AH4" s="7"/>
      <c r="AI4" s="7"/>
      <c r="AJ4" s="7"/>
      <c r="AK4" s="6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ht="14.65" thickBot="1" x14ac:dyDescent="0.5">
      <c r="A5" s="270"/>
      <c r="B5" s="26" t="s">
        <v>102</v>
      </c>
      <c r="C5" s="23" t="s">
        <v>99</v>
      </c>
      <c r="D5" s="32">
        <v>6.1280000000000001E-2</v>
      </c>
      <c r="E5" s="32">
        <v>6.1830000000000003E-2</v>
      </c>
      <c r="F5" s="33">
        <v>1.7590000000000001E-2</v>
      </c>
      <c r="I5" s="5"/>
      <c r="J5" s="95"/>
      <c r="K5" s="7"/>
      <c r="L5" s="7"/>
      <c r="M5" s="5"/>
      <c r="N5" s="7"/>
      <c r="O5" s="7"/>
      <c r="P5" s="7"/>
      <c r="Q5" s="7"/>
      <c r="R5" s="5"/>
      <c r="S5" s="7"/>
      <c r="T5" s="7"/>
      <c r="U5" s="7"/>
      <c r="V5" s="7"/>
      <c r="W5" s="5"/>
      <c r="X5" s="61"/>
      <c r="Y5" s="61"/>
      <c r="Z5" s="5"/>
      <c r="AA5" s="5"/>
      <c r="AD5" s="7"/>
      <c r="AE5" s="7"/>
      <c r="AF5" s="7"/>
      <c r="AG5" s="7"/>
      <c r="AH5" s="7"/>
      <c r="AI5" s="7"/>
      <c r="AJ5" s="7"/>
      <c r="AK5" s="6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5"/>
      <c r="AY5" s="5"/>
      <c r="AZ5" s="5"/>
      <c r="BA5" s="5"/>
    </row>
    <row r="6" spans="1:53" x14ac:dyDescent="0.45">
      <c r="A6" s="2"/>
      <c r="I6" s="5"/>
      <c r="J6" s="94"/>
      <c r="K6" s="7"/>
      <c r="L6" s="7"/>
      <c r="M6" s="5"/>
      <c r="N6" s="7"/>
      <c r="O6" s="7"/>
      <c r="P6" s="7"/>
      <c r="Q6" s="7"/>
      <c r="R6" s="5"/>
      <c r="S6" s="7"/>
      <c r="T6" s="7"/>
      <c r="U6" s="7"/>
      <c r="V6" s="7"/>
      <c r="AD6" s="7"/>
      <c r="AE6" s="7"/>
      <c r="AF6" s="7"/>
      <c r="AG6" s="7"/>
      <c r="AH6" s="7"/>
      <c r="AI6" s="7"/>
      <c r="AJ6" s="7"/>
      <c r="AK6" s="6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5"/>
      <c r="AY6" s="5"/>
      <c r="AZ6" s="5"/>
      <c r="BA6" s="5"/>
    </row>
    <row r="7" spans="1:53" x14ac:dyDescent="0.45">
      <c r="A7" s="6"/>
      <c r="B7" s="4"/>
      <c r="D7" s="5" t="s">
        <v>103</v>
      </c>
      <c r="E7" s="5" t="s">
        <v>104</v>
      </c>
      <c r="F7" s="5" t="s">
        <v>105</v>
      </c>
      <c r="G7" s="5" t="s">
        <v>106</v>
      </c>
      <c r="I7" s="5"/>
      <c r="J7" s="5"/>
      <c r="M7" s="5"/>
      <c r="N7" s="7"/>
      <c r="O7" s="7"/>
      <c r="P7" s="7"/>
      <c r="Q7" s="7"/>
      <c r="R7" s="5"/>
      <c r="S7" s="7"/>
      <c r="T7" s="7"/>
      <c r="U7" s="7"/>
      <c r="V7" s="7"/>
      <c r="AD7" s="7"/>
      <c r="AE7" s="7"/>
      <c r="AF7" s="7"/>
      <c r="AG7" s="7"/>
      <c r="AH7" s="7"/>
      <c r="AI7" s="7"/>
      <c r="AN7" s="7"/>
      <c r="AO7" s="7"/>
      <c r="AP7" s="7"/>
      <c r="AQ7" s="7"/>
      <c r="AR7" s="7"/>
      <c r="AS7" s="7"/>
      <c r="AT7" s="5"/>
      <c r="AU7" s="5"/>
      <c r="AV7" s="5"/>
      <c r="AW7" s="5"/>
      <c r="AX7" s="5"/>
      <c r="AY7" s="5"/>
      <c r="AZ7" s="5"/>
      <c r="BA7" s="5"/>
    </row>
    <row r="8" spans="1:53" x14ac:dyDescent="0.45">
      <c r="A8" s="268" t="s">
        <v>107</v>
      </c>
      <c r="B8" s="24" t="s">
        <v>108</v>
      </c>
      <c r="C8" s="22" t="s">
        <v>99</v>
      </c>
      <c r="D8" s="28">
        <v>0.11027000000000001</v>
      </c>
      <c r="E8" s="28">
        <v>0.11985</v>
      </c>
      <c r="F8" s="28">
        <v>0.12944</v>
      </c>
      <c r="G8" s="29">
        <v>0.11851</v>
      </c>
      <c r="I8" s="97"/>
      <c r="J8" s="98"/>
      <c r="M8" s="5"/>
      <c r="N8" s="7"/>
      <c r="O8" s="7"/>
      <c r="P8" s="7"/>
      <c r="Q8" s="7"/>
      <c r="R8" s="5"/>
      <c r="S8" s="7"/>
      <c r="T8" s="7"/>
      <c r="U8" s="7"/>
      <c r="V8" s="7"/>
      <c r="AD8" s="7"/>
      <c r="AE8" s="7"/>
      <c r="AF8" s="7"/>
      <c r="AG8" s="7"/>
      <c r="AH8" s="7"/>
      <c r="AI8" s="7"/>
      <c r="AN8" s="7"/>
      <c r="AO8" s="7"/>
      <c r="AP8" s="7"/>
      <c r="AQ8" s="7"/>
      <c r="AR8" s="7"/>
      <c r="AS8" s="7"/>
      <c r="AT8" s="5"/>
      <c r="AU8" s="5"/>
      <c r="AV8" s="5"/>
      <c r="AW8" s="5"/>
      <c r="AX8" s="5"/>
      <c r="AY8" s="5"/>
      <c r="AZ8" s="5"/>
      <c r="BA8" s="5"/>
    </row>
    <row r="9" spans="1:53" x14ac:dyDescent="0.45">
      <c r="A9" s="269"/>
      <c r="B9" s="25" t="s">
        <v>109</v>
      </c>
      <c r="C9" s="21" t="s">
        <v>99</v>
      </c>
      <c r="D9" s="30">
        <v>0.13206999999999999</v>
      </c>
      <c r="E9" s="30">
        <v>0.15093999999999999</v>
      </c>
      <c r="F9" s="30">
        <v>0.16980999999999999</v>
      </c>
      <c r="G9" s="31">
        <v>0.14452999999999999</v>
      </c>
      <c r="I9" s="5"/>
      <c r="J9" s="98"/>
      <c r="M9" s="5"/>
      <c r="N9" s="7"/>
      <c r="O9" s="7"/>
      <c r="P9" s="7"/>
      <c r="Q9" s="7"/>
      <c r="R9" s="5"/>
      <c r="S9" s="7"/>
      <c r="T9" s="7"/>
      <c r="U9" s="7"/>
      <c r="V9" s="7"/>
      <c r="AD9" s="7"/>
      <c r="AE9" s="7"/>
      <c r="AF9" s="7"/>
      <c r="AG9" s="7"/>
      <c r="AN9" s="7"/>
      <c r="AO9" s="7"/>
      <c r="AP9" s="7"/>
      <c r="AQ9" s="7"/>
      <c r="AR9" s="7"/>
      <c r="AS9" s="7"/>
      <c r="AT9" s="5"/>
      <c r="AU9" s="5"/>
      <c r="AV9" s="5"/>
      <c r="AW9" s="5"/>
      <c r="AX9" s="5"/>
      <c r="AY9" s="5"/>
      <c r="AZ9" s="5"/>
      <c r="BA9" s="5"/>
    </row>
    <row r="10" spans="1:53" x14ac:dyDescent="0.45">
      <c r="A10" s="269"/>
      <c r="B10" s="25" t="s">
        <v>110</v>
      </c>
      <c r="C10" s="21" t="s">
        <v>99</v>
      </c>
      <c r="D10" s="30">
        <v>0.18171999999999999</v>
      </c>
      <c r="E10" s="30">
        <v>0.22159999999999999</v>
      </c>
      <c r="F10" s="30">
        <v>0.26149</v>
      </c>
      <c r="G10" s="31">
        <v>0.23755999999999999</v>
      </c>
      <c r="M10" s="5"/>
      <c r="N10" s="7"/>
      <c r="O10" s="7"/>
      <c r="P10" s="7"/>
      <c r="Q10" s="7"/>
      <c r="R10" s="5"/>
      <c r="S10" s="7"/>
      <c r="T10" s="7"/>
      <c r="U10" s="7"/>
      <c r="V10" s="7"/>
      <c r="AD10" s="7"/>
      <c r="AE10" s="7"/>
      <c r="AN10" s="7"/>
      <c r="AO10" s="7"/>
      <c r="AP10" s="7"/>
      <c r="AQ10" s="7"/>
      <c r="AR10" s="7"/>
      <c r="AS10" s="7"/>
      <c r="AT10" s="5"/>
      <c r="AU10" s="5"/>
      <c r="AV10" s="5"/>
      <c r="AW10" s="5"/>
      <c r="AX10" s="5"/>
      <c r="AY10" s="5"/>
      <c r="AZ10" s="5"/>
      <c r="BA10" s="5"/>
    </row>
    <row r="11" spans="1:53" x14ac:dyDescent="0.45">
      <c r="A11" s="269"/>
      <c r="B11" s="25" t="s">
        <v>111</v>
      </c>
      <c r="C11" s="21" t="s">
        <v>99</v>
      </c>
      <c r="D11" s="30">
        <v>0.16044</v>
      </c>
      <c r="E11" s="30">
        <v>0.19131000000000001</v>
      </c>
      <c r="F11" s="30">
        <v>0.22217999999999999</v>
      </c>
      <c r="G11" s="31">
        <v>0.20099</v>
      </c>
      <c r="I11" s="5"/>
      <c r="J11" s="5"/>
      <c r="K11" s="5"/>
    </row>
    <row r="12" spans="1:53" x14ac:dyDescent="0.45">
      <c r="A12" s="269"/>
      <c r="B12" s="25" t="s">
        <v>112</v>
      </c>
      <c r="C12" s="21" t="s">
        <v>99</v>
      </c>
      <c r="D12" s="30">
        <v>0.14831</v>
      </c>
      <c r="E12" s="30">
        <v>0.18537999999999999</v>
      </c>
      <c r="F12" s="30">
        <v>0.22245999999999999</v>
      </c>
      <c r="G12" s="31">
        <v>0.18537999999999999</v>
      </c>
      <c r="I12" s="5"/>
      <c r="J12" s="5"/>
      <c r="K12" s="5"/>
    </row>
    <row r="13" spans="1:53" x14ac:dyDescent="0.45">
      <c r="A13" s="269"/>
      <c r="B13" s="25" t="s">
        <v>113</v>
      </c>
      <c r="C13" s="21" t="s">
        <v>99</v>
      </c>
      <c r="D13" s="30">
        <v>0.15178</v>
      </c>
      <c r="E13" s="30">
        <v>0.20236999999999999</v>
      </c>
      <c r="F13" s="30">
        <v>0.25296000000000002</v>
      </c>
      <c r="G13" s="31">
        <v>0.22058</v>
      </c>
      <c r="I13" s="5"/>
      <c r="J13" s="98"/>
      <c r="K13" s="5"/>
    </row>
    <row r="14" spans="1:53" x14ac:dyDescent="0.45">
      <c r="A14" s="269"/>
      <c r="B14" s="25" t="s">
        <v>114</v>
      </c>
      <c r="C14" s="21" t="s">
        <v>99</v>
      </c>
      <c r="D14" s="30">
        <v>0.15162</v>
      </c>
      <c r="E14" s="30">
        <v>0.20158999999999999</v>
      </c>
      <c r="F14" s="30">
        <v>0.25157000000000002</v>
      </c>
      <c r="G14" s="31">
        <v>0.21898000000000001</v>
      </c>
      <c r="I14" s="5"/>
      <c r="J14" s="99"/>
      <c r="K14" s="5"/>
    </row>
    <row r="15" spans="1:53" x14ac:dyDescent="0.45">
      <c r="A15" s="270"/>
      <c r="B15" s="26" t="s">
        <v>115</v>
      </c>
      <c r="C15" s="23" t="s">
        <v>99</v>
      </c>
      <c r="D15" s="32">
        <v>0.15526999999999999</v>
      </c>
      <c r="E15" s="32">
        <v>0.19733999999999999</v>
      </c>
      <c r="F15" s="32">
        <v>0.23941999999999999</v>
      </c>
      <c r="G15" s="33">
        <v>0.21154000000000001</v>
      </c>
      <c r="I15" s="5"/>
      <c r="J15" s="98"/>
      <c r="K15" s="5"/>
    </row>
    <row r="16" spans="1:53" x14ac:dyDescent="0.45">
      <c r="D16" s="5"/>
      <c r="E16" s="5"/>
      <c r="F16" s="5"/>
      <c r="G16" s="5"/>
      <c r="I16" s="5"/>
      <c r="J16" s="98"/>
      <c r="K16" s="5"/>
    </row>
    <row r="17" spans="1:11" x14ac:dyDescent="0.45">
      <c r="A17" s="265" t="s">
        <v>116</v>
      </c>
      <c r="B17" s="24" t="s">
        <v>108</v>
      </c>
      <c r="C17" s="22" t="s">
        <v>99</v>
      </c>
      <c r="D17" s="28">
        <v>0.13155</v>
      </c>
      <c r="E17" s="28">
        <v>0.14299000000000001</v>
      </c>
      <c r="F17" s="28">
        <v>0.15442</v>
      </c>
      <c r="G17" s="29">
        <v>0.14138000000000001</v>
      </c>
      <c r="I17" s="5"/>
      <c r="J17" s="5"/>
      <c r="K17" s="5"/>
    </row>
    <row r="18" spans="1:11" x14ac:dyDescent="0.45">
      <c r="A18" s="266"/>
      <c r="B18" s="25" t="s">
        <v>109</v>
      </c>
      <c r="C18" s="21" t="s">
        <v>99</v>
      </c>
      <c r="D18" s="30">
        <v>0.15756000000000001</v>
      </c>
      <c r="E18" s="30">
        <v>0.18007000000000001</v>
      </c>
      <c r="F18" s="30">
        <v>0.20258000000000001</v>
      </c>
      <c r="G18" s="31">
        <v>0.17241999999999999</v>
      </c>
      <c r="I18" s="5"/>
      <c r="J18" s="5"/>
      <c r="K18" s="5"/>
    </row>
    <row r="19" spans="1:11" x14ac:dyDescent="0.45">
      <c r="A19" s="266"/>
      <c r="B19" s="25" t="s">
        <v>110</v>
      </c>
      <c r="C19" s="21" t="s">
        <v>99</v>
      </c>
      <c r="D19" s="30">
        <v>0.21678</v>
      </c>
      <c r="E19" s="30">
        <v>0.26436999999999999</v>
      </c>
      <c r="F19" s="30">
        <v>0.31196000000000002</v>
      </c>
      <c r="G19" s="31">
        <v>0.28339999999999999</v>
      </c>
      <c r="I19" s="5"/>
      <c r="J19" s="5"/>
      <c r="K19" s="5"/>
    </row>
    <row r="20" spans="1:11" x14ac:dyDescent="0.45">
      <c r="A20" s="266"/>
      <c r="B20" s="25" t="s">
        <v>111</v>
      </c>
      <c r="C20" s="21" t="s">
        <v>99</v>
      </c>
      <c r="D20" s="30">
        <v>0.19139999999999999</v>
      </c>
      <c r="E20" s="30">
        <v>0.22822999999999999</v>
      </c>
      <c r="F20" s="30">
        <v>0.26506000000000002</v>
      </c>
      <c r="G20" s="31">
        <v>0.23977999999999999</v>
      </c>
      <c r="I20" s="5"/>
      <c r="J20" s="5"/>
      <c r="K20" s="5"/>
    </row>
    <row r="21" spans="1:11" x14ac:dyDescent="0.45">
      <c r="A21" s="266"/>
      <c r="B21" s="25" t="s">
        <v>112</v>
      </c>
      <c r="C21" s="21" t="s">
        <v>99</v>
      </c>
      <c r="D21" s="30">
        <v>0.17199</v>
      </c>
      <c r="E21" s="30">
        <v>0.21498999999999999</v>
      </c>
      <c r="F21" s="30">
        <v>0.25799</v>
      </c>
      <c r="G21" s="31">
        <v>0.21498999999999999</v>
      </c>
      <c r="I21" s="5"/>
      <c r="J21" s="5"/>
      <c r="K21" s="5"/>
    </row>
    <row r="22" spans="1:11" x14ac:dyDescent="0.45">
      <c r="A22" s="266"/>
      <c r="B22" s="25" t="s">
        <v>113</v>
      </c>
      <c r="C22" s="21" t="s">
        <v>99</v>
      </c>
      <c r="D22" s="30">
        <v>0.17602000000000001</v>
      </c>
      <c r="E22" s="30">
        <v>0.23469000000000001</v>
      </c>
      <c r="F22" s="30">
        <v>0.29336000000000001</v>
      </c>
      <c r="G22" s="31">
        <v>0.25580999999999998</v>
      </c>
      <c r="I22" s="5"/>
      <c r="J22" s="5"/>
      <c r="K22" s="5"/>
    </row>
    <row r="23" spans="1:11" x14ac:dyDescent="0.45">
      <c r="A23" s="266"/>
      <c r="B23" s="25" t="s">
        <v>114</v>
      </c>
      <c r="C23" s="21" t="s">
        <v>99</v>
      </c>
      <c r="D23" s="30">
        <v>0.17582999999999999</v>
      </c>
      <c r="E23" s="30">
        <v>0.23379</v>
      </c>
      <c r="F23" s="30">
        <v>0.29175000000000001</v>
      </c>
      <c r="G23" s="31">
        <v>0.25395000000000001</v>
      </c>
      <c r="I23" s="5"/>
      <c r="J23" s="5"/>
      <c r="K23" s="5"/>
    </row>
    <row r="24" spans="1:11" x14ac:dyDescent="0.45">
      <c r="A24" s="267"/>
      <c r="B24" s="26" t="s">
        <v>115</v>
      </c>
      <c r="C24" s="23" t="s">
        <v>99</v>
      </c>
      <c r="D24" s="32">
        <v>0.1822</v>
      </c>
      <c r="E24" s="32">
        <v>0.23157</v>
      </c>
      <c r="F24" s="32">
        <v>0.28094999999999998</v>
      </c>
      <c r="G24" s="33">
        <v>0.24823999999999999</v>
      </c>
      <c r="I24" s="5"/>
      <c r="J24" s="5"/>
      <c r="K24" s="5"/>
    </row>
    <row r="25" spans="1:11" x14ac:dyDescent="0.45">
      <c r="G25" s="6"/>
      <c r="I25" s="5"/>
      <c r="J25" s="5"/>
      <c r="K25" s="5"/>
    </row>
    <row r="26" spans="1:11" ht="14.65" thickBot="1" x14ac:dyDescent="0.5">
      <c r="B26" s="5"/>
      <c r="C26" s="5"/>
      <c r="D26" s="5"/>
      <c r="E26" s="5" t="s">
        <v>119</v>
      </c>
      <c r="F26" s="5" t="s">
        <v>120</v>
      </c>
      <c r="I26" s="5"/>
      <c r="J26" s="5"/>
      <c r="K26" s="5"/>
    </row>
    <row r="27" spans="1:11" x14ac:dyDescent="0.45">
      <c r="A27" s="268" t="s">
        <v>121</v>
      </c>
      <c r="B27" s="8" t="s">
        <v>122</v>
      </c>
      <c r="C27" s="8" t="s">
        <v>123</v>
      </c>
      <c r="D27" s="9">
        <v>0.13516</v>
      </c>
      <c r="E27" s="8" t="s">
        <v>187</v>
      </c>
      <c r="F27" s="101" t="s">
        <v>187</v>
      </c>
      <c r="I27" s="5"/>
      <c r="J27" s="5"/>
      <c r="K27" s="5"/>
    </row>
    <row r="28" spans="1:11" x14ac:dyDescent="0.45">
      <c r="A28" s="269"/>
      <c r="B28" s="5" t="s">
        <v>126</v>
      </c>
      <c r="C28" s="5" t="s">
        <v>123</v>
      </c>
      <c r="D28" s="102" t="s">
        <v>187</v>
      </c>
      <c r="E28" s="5">
        <v>0.25900000000000001</v>
      </c>
      <c r="F28" s="16">
        <v>0.20300000000000001</v>
      </c>
      <c r="I28" s="5"/>
      <c r="J28" s="5"/>
      <c r="K28" s="5"/>
    </row>
    <row r="29" spans="1:11" ht="14.65" thickBot="1" x14ac:dyDescent="0.5">
      <c r="A29" s="270"/>
      <c r="B29" s="12" t="s">
        <v>127</v>
      </c>
      <c r="C29" s="12" t="s">
        <v>123</v>
      </c>
      <c r="D29" s="103" t="s">
        <v>187</v>
      </c>
      <c r="E29" s="12">
        <v>0.315</v>
      </c>
      <c r="F29" s="17">
        <v>0.13100000000000001</v>
      </c>
    </row>
    <row r="30" spans="1:11" ht="14.65" thickBot="1" x14ac:dyDescent="0.5"/>
    <row r="31" spans="1:11" x14ac:dyDescent="0.45">
      <c r="A31" s="34" t="s">
        <v>128</v>
      </c>
      <c r="B31" s="18" t="s">
        <v>129</v>
      </c>
      <c r="C31" s="18" t="s">
        <v>123</v>
      </c>
      <c r="D31" s="27">
        <v>6.9100000000000003E-3</v>
      </c>
    </row>
    <row r="33" spans="1:7" ht="14.65" thickBot="1" x14ac:dyDescent="0.5">
      <c r="B33" s="4" t="s">
        <v>92</v>
      </c>
      <c r="C33" s="5" t="s">
        <v>130</v>
      </c>
      <c r="D33" s="5" t="s">
        <v>93</v>
      </c>
      <c r="E33" s="5" t="s">
        <v>131</v>
      </c>
      <c r="G33" s="100" t="s">
        <v>132</v>
      </c>
    </row>
    <row r="34" spans="1:7" x14ac:dyDescent="0.45">
      <c r="A34" s="265" t="s">
        <v>132</v>
      </c>
      <c r="B34" s="261" t="str">
        <f>G34</f>
        <v>Crude Tanker</v>
      </c>
      <c r="C34" s="9" t="s">
        <v>134</v>
      </c>
      <c r="D34" s="9" t="s">
        <v>123</v>
      </c>
      <c r="E34" s="10">
        <v>6.7000000000000002E-4</v>
      </c>
      <c r="F34" s="149" t="s">
        <v>189</v>
      </c>
      <c r="G34" s="5" t="s">
        <v>188</v>
      </c>
    </row>
    <row r="35" spans="1:7" x14ac:dyDescent="0.45">
      <c r="A35" s="266"/>
      <c r="B35" s="262"/>
      <c r="C35" s="7" t="s">
        <v>135</v>
      </c>
      <c r="D35" s="7" t="s">
        <v>123</v>
      </c>
      <c r="E35" s="11">
        <v>1.01E-3</v>
      </c>
      <c r="G35" s="5" t="s">
        <v>190</v>
      </c>
    </row>
    <row r="36" spans="1:7" x14ac:dyDescent="0.45">
      <c r="A36" s="266"/>
      <c r="B36" s="262"/>
      <c r="C36" s="7" t="s">
        <v>136</v>
      </c>
      <c r="D36" s="7" t="s">
        <v>123</v>
      </c>
      <c r="E36" s="11">
        <v>1.3500000000000001E-3</v>
      </c>
      <c r="G36" s="5" t="s">
        <v>191</v>
      </c>
    </row>
    <row r="37" spans="1:7" x14ac:dyDescent="0.45">
      <c r="A37" s="266"/>
      <c r="B37" s="262"/>
      <c r="C37" s="7" t="s">
        <v>137</v>
      </c>
      <c r="D37" s="7" t="s">
        <v>123</v>
      </c>
      <c r="E37" s="11">
        <v>1.72E-3</v>
      </c>
      <c r="G37" s="5" t="s">
        <v>192</v>
      </c>
    </row>
    <row r="38" spans="1:7" x14ac:dyDescent="0.45">
      <c r="A38" s="266"/>
      <c r="B38" s="262"/>
      <c r="C38" s="7" t="s">
        <v>138</v>
      </c>
      <c r="D38" s="7" t="s">
        <v>123</v>
      </c>
      <c r="E38" s="11">
        <v>2.0899999999999998E-3</v>
      </c>
      <c r="G38" s="5" t="s">
        <v>152</v>
      </c>
    </row>
    <row r="39" spans="1:7" x14ac:dyDescent="0.45">
      <c r="A39" s="266"/>
      <c r="B39" s="262"/>
      <c r="C39" s="7" t="s">
        <v>139</v>
      </c>
      <c r="D39" s="7" t="s">
        <v>123</v>
      </c>
      <c r="E39" s="11">
        <v>7.6400000000000001E-3</v>
      </c>
    </row>
    <row r="40" spans="1:7" x14ac:dyDescent="0.45">
      <c r="A40" s="266"/>
      <c r="B40" s="262"/>
      <c r="C40" s="7" t="s">
        <v>140</v>
      </c>
      <c r="D40" s="7" t="s">
        <v>123</v>
      </c>
      <c r="E40" s="11">
        <v>1.0399999999999999E-3</v>
      </c>
    </row>
    <row r="41" spans="1:7" x14ac:dyDescent="0.45">
      <c r="A41" s="266"/>
      <c r="B41" s="262" t="str">
        <f>G35</f>
        <v>Products Tanker</v>
      </c>
      <c r="C41" s="7" t="s">
        <v>142</v>
      </c>
      <c r="D41" s="7" t="s">
        <v>123</v>
      </c>
      <c r="E41" s="11">
        <v>1.31E-3</v>
      </c>
    </row>
    <row r="42" spans="1:7" x14ac:dyDescent="0.45">
      <c r="A42" s="266"/>
      <c r="B42" s="262"/>
      <c r="C42" s="7" t="s">
        <v>143</v>
      </c>
      <c r="D42" s="7" t="s">
        <v>123</v>
      </c>
      <c r="E42" s="11">
        <v>2.3600000000000001E-3</v>
      </c>
    </row>
    <row r="43" spans="1:7" x14ac:dyDescent="0.45">
      <c r="A43" s="266"/>
      <c r="B43" s="262"/>
      <c r="C43" s="7" t="s">
        <v>144</v>
      </c>
      <c r="D43" s="7" t="s">
        <v>123</v>
      </c>
      <c r="E43" s="11">
        <v>4.2900000000000004E-3</v>
      </c>
    </row>
    <row r="44" spans="1:7" x14ac:dyDescent="0.45">
      <c r="A44" s="266"/>
      <c r="B44" s="262"/>
      <c r="C44" s="7" t="s">
        <v>145</v>
      </c>
      <c r="D44" s="7" t="s">
        <v>123</v>
      </c>
      <c r="E44" s="11">
        <v>6.7000000000000002E-3</v>
      </c>
    </row>
    <row r="45" spans="1:7" x14ac:dyDescent="0.45">
      <c r="A45" s="266"/>
      <c r="B45" s="262"/>
      <c r="C45" s="7" t="s">
        <v>146</v>
      </c>
      <c r="D45" s="7" t="s">
        <v>123</v>
      </c>
      <c r="E45" s="11">
        <v>1.0330000000000001E-2</v>
      </c>
    </row>
    <row r="46" spans="1:7" x14ac:dyDescent="0.45">
      <c r="A46" s="266"/>
      <c r="B46" s="262"/>
      <c r="C46" s="7" t="s">
        <v>140</v>
      </c>
      <c r="D46" s="7" t="s">
        <v>123</v>
      </c>
      <c r="E46" s="11">
        <v>2.0500000000000002E-3</v>
      </c>
    </row>
    <row r="47" spans="1:7" x14ac:dyDescent="0.45">
      <c r="A47" s="266"/>
      <c r="B47" s="262" t="str">
        <f>G36</f>
        <v>Chemical Tanker</v>
      </c>
      <c r="C47" s="7" t="s">
        <v>148</v>
      </c>
      <c r="D47" s="7" t="s">
        <v>123</v>
      </c>
      <c r="E47" s="11">
        <v>1.9300000000000001E-3</v>
      </c>
    </row>
    <row r="48" spans="1:7" x14ac:dyDescent="0.45">
      <c r="A48" s="266"/>
      <c r="B48" s="262"/>
      <c r="C48" s="7" t="s">
        <v>144</v>
      </c>
      <c r="D48" s="7" t="s">
        <v>123</v>
      </c>
      <c r="E48" s="11">
        <v>2.48E-3</v>
      </c>
    </row>
    <row r="49" spans="1:7" x14ac:dyDescent="0.45">
      <c r="A49" s="266"/>
      <c r="B49" s="262"/>
      <c r="C49" s="7" t="s">
        <v>145</v>
      </c>
      <c r="D49" s="7" t="s">
        <v>123</v>
      </c>
      <c r="E49" s="11">
        <v>3.47E-3</v>
      </c>
    </row>
    <row r="50" spans="1:7" x14ac:dyDescent="0.45">
      <c r="A50" s="266"/>
      <c r="B50" s="262"/>
      <c r="C50" s="7" t="s">
        <v>146</v>
      </c>
      <c r="D50" s="7" t="s">
        <v>123</v>
      </c>
      <c r="E50" s="11">
        <v>5.1000000000000004E-3</v>
      </c>
    </row>
    <row r="51" spans="1:7" x14ac:dyDescent="0.45">
      <c r="A51" s="266"/>
      <c r="B51" s="262"/>
      <c r="C51" s="7" t="s">
        <v>140</v>
      </c>
      <c r="D51" s="7" t="s">
        <v>123</v>
      </c>
      <c r="E51" s="11">
        <v>2.3400000000000001E-3</v>
      </c>
    </row>
    <row r="52" spans="1:7" x14ac:dyDescent="0.45">
      <c r="A52" s="266"/>
      <c r="B52" s="262" t="str">
        <f>G37</f>
        <v>LNG Tanker</v>
      </c>
      <c r="C52" s="7" t="s">
        <v>150</v>
      </c>
      <c r="D52" s="7" t="s">
        <v>123</v>
      </c>
      <c r="E52" s="11">
        <v>2.14E-3</v>
      </c>
    </row>
    <row r="53" spans="1:7" x14ac:dyDescent="0.45">
      <c r="A53" s="266"/>
      <c r="B53" s="262"/>
      <c r="C53" s="7" t="s">
        <v>151</v>
      </c>
      <c r="D53" s="7" t="s">
        <v>123</v>
      </c>
      <c r="E53" s="11">
        <v>3.3300000000000001E-3</v>
      </c>
    </row>
    <row r="54" spans="1:7" x14ac:dyDescent="0.45">
      <c r="A54" s="266"/>
      <c r="B54" s="262"/>
      <c r="C54" s="7" t="s">
        <v>140</v>
      </c>
      <c r="D54" s="7" t="s">
        <v>123</v>
      </c>
      <c r="E54" s="11">
        <v>2.6199999999999999E-3</v>
      </c>
    </row>
    <row r="55" spans="1:7" x14ac:dyDescent="0.45">
      <c r="A55" s="266"/>
      <c r="B55" s="262" t="str">
        <f>G38</f>
        <v>LPG Tanker</v>
      </c>
      <c r="C55" s="7" t="s">
        <v>153</v>
      </c>
      <c r="D55" s="7" t="s">
        <v>123</v>
      </c>
      <c r="E55" s="11">
        <v>2.0699999999999998E-3</v>
      </c>
    </row>
    <row r="56" spans="1:7" x14ac:dyDescent="0.45">
      <c r="A56" s="266"/>
      <c r="B56" s="262"/>
      <c r="C56" s="7" t="s">
        <v>154</v>
      </c>
      <c r="D56" s="7" t="s">
        <v>123</v>
      </c>
      <c r="E56" s="11">
        <v>9.9900000000000006E-3</v>
      </c>
    </row>
    <row r="57" spans="1:7" ht="14.65" thickBot="1" x14ac:dyDescent="0.5">
      <c r="A57" s="267"/>
      <c r="B57" s="263"/>
      <c r="C57" s="13" t="s">
        <v>140</v>
      </c>
      <c r="D57" s="13" t="s">
        <v>123</v>
      </c>
      <c r="E57" s="14">
        <v>2.3500000000000001E-3</v>
      </c>
    </row>
    <row r="58" spans="1:7" ht="14.65" thickBot="1" x14ac:dyDescent="0.5">
      <c r="E58" s="5"/>
    </row>
    <row r="59" spans="1:7" x14ac:dyDescent="0.45">
      <c r="A59" s="271" t="s">
        <v>155</v>
      </c>
      <c r="B59" s="264" t="s">
        <v>156</v>
      </c>
      <c r="C59" s="106" t="s">
        <v>134</v>
      </c>
      <c r="D59" s="106" t="s">
        <v>123</v>
      </c>
      <c r="E59" s="107">
        <v>5.6999999999999998E-4</v>
      </c>
      <c r="G59" s="100" t="s">
        <v>155</v>
      </c>
    </row>
    <row r="60" spans="1:7" x14ac:dyDescent="0.45">
      <c r="A60" s="272"/>
      <c r="B60" s="259"/>
      <c r="C60" s="7" t="s">
        <v>157</v>
      </c>
      <c r="D60" s="7" t="s">
        <v>123</v>
      </c>
      <c r="E60" s="108">
        <v>6.8999999999999997E-4</v>
      </c>
      <c r="F60" s="149" t="s">
        <v>189</v>
      </c>
      <c r="G60" s="104" t="s">
        <v>186</v>
      </c>
    </row>
    <row r="61" spans="1:7" x14ac:dyDescent="0.45">
      <c r="A61" s="272"/>
      <c r="B61" s="259"/>
      <c r="C61" s="7" t="s">
        <v>158</v>
      </c>
      <c r="D61" s="7" t="s">
        <v>123</v>
      </c>
      <c r="E61" s="108">
        <v>9.3999999999999997E-4</v>
      </c>
      <c r="G61" s="5" t="s">
        <v>193</v>
      </c>
    </row>
    <row r="62" spans="1:7" x14ac:dyDescent="0.45">
      <c r="A62" s="272"/>
      <c r="B62" s="259"/>
      <c r="C62" s="7" t="s">
        <v>159</v>
      </c>
      <c r="D62" s="7" t="s">
        <v>123</v>
      </c>
      <c r="E62" s="108">
        <v>1.31E-3</v>
      </c>
      <c r="G62" s="5" t="s">
        <v>194</v>
      </c>
    </row>
    <row r="63" spans="1:7" x14ac:dyDescent="0.45">
      <c r="A63" s="272"/>
      <c r="B63" s="259"/>
      <c r="C63" s="7" t="s">
        <v>160</v>
      </c>
      <c r="D63" s="7" t="s">
        <v>123</v>
      </c>
      <c r="E63" s="108">
        <v>1.81E-3</v>
      </c>
      <c r="G63" s="5" t="s">
        <v>195</v>
      </c>
    </row>
    <row r="64" spans="1:7" x14ac:dyDescent="0.45">
      <c r="A64" s="272"/>
      <c r="B64" s="259"/>
      <c r="C64" s="7" t="s">
        <v>139</v>
      </c>
      <c r="D64" s="7" t="s">
        <v>123</v>
      </c>
      <c r="E64" s="108">
        <v>6.7000000000000002E-3</v>
      </c>
      <c r="G64" s="5" t="s">
        <v>176</v>
      </c>
    </row>
    <row r="65" spans="1:7" x14ac:dyDescent="0.45">
      <c r="A65" s="272"/>
      <c r="B65" s="259"/>
      <c r="C65" s="7" t="s">
        <v>140</v>
      </c>
      <c r="D65" s="7" t="s">
        <v>123</v>
      </c>
      <c r="E65" s="108">
        <v>8.0000000000000004E-4</v>
      </c>
      <c r="G65" s="5"/>
    </row>
    <row r="66" spans="1:7" x14ac:dyDescent="0.45">
      <c r="A66" s="272"/>
      <c r="B66" s="259" t="str">
        <f>G61</f>
        <v>General Cargo</v>
      </c>
      <c r="C66" s="7" t="s">
        <v>162</v>
      </c>
      <c r="D66" s="7" t="s">
        <v>123</v>
      </c>
      <c r="E66" s="108">
        <v>2.7299999999999998E-3</v>
      </c>
      <c r="G66" s="5"/>
    </row>
    <row r="67" spans="1:7" x14ac:dyDescent="0.45">
      <c r="A67" s="272"/>
      <c r="B67" s="259"/>
      <c r="C67" s="7" t="s">
        <v>145</v>
      </c>
      <c r="D67" s="7" t="s">
        <v>123</v>
      </c>
      <c r="E67" s="108">
        <v>3.63E-3</v>
      </c>
    </row>
    <row r="68" spans="1:7" x14ac:dyDescent="0.45">
      <c r="A68" s="272"/>
      <c r="B68" s="259"/>
      <c r="C68" s="7" t="s">
        <v>146</v>
      </c>
      <c r="D68" s="7" t="s">
        <v>123</v>
      </c>
      <c r="E68" s="108">
        <v>3.1900000000000001E-3</v>
      </c>
    </row>
    <row r="69" spans="1:7" x14ac:dyDescent="0.45">
      <c r="A69" s="272"/>
      <c r="B69" s="259"/>
      <c r="C69" s="7" t="s">
        <v>163</v>
      </c>
      <c r="D69" s="7" t="s">
        <v>123</v>
      </c>
      <c r="E69" s="108">
        <v>2.5300000000000001E-3</v>
      </c>
    </row>
    <row r="70" spans="1:7" x14ac:dyDescent="0.45">
      <c r="A70" s="272"/>
      <c r="B70" s="259"/>
      <c r="C70" s="7" t="s">
        <v>164</v>
      </c>
      <c r="D70" s="7" t="s">
        <v>123</v>
      </c>
      <c r="E70" s="108">
        <v>4.0200000000000001E-3</v>
      </c>
    </row>
    <row r="71" spans="1:7" x14ac:dyDescent="0.45">
      <c r="A71" s="272"/>
      <c r="B71" s="259"/>
      <c r="C71" s="7" t="s">
        <v>165</v>
      </c>
      <c r="D71" s="7" t="s">
        <v>123</v>
      </c>
      <c r="E71" s="108">
        <v>4.5500000000000002E-3</v>
      </c>
    </row>
    <row r="72" spans="1:7" x14ac:dyDescent="0.45">
      <c r="A72" s="272"/>
      <c r="B72" s="259"/>
      <c r="C72" s="7" t="s">
        <v>140</v>
      </c>
      <c r="D72" s="7" t="s">
        <v>123</v>
      </c>
      <c r="E72" s="108">
        <v>3.0000000000000001E-3</v>
      </c>
    </row>
    <row r="73" spans="1:7" x14ac:dyDescent="0.45">
      <c r="A73" s="272"/>
      <c r="B73" s="259" t="str">
        <f>G62</f>
        <v>Container Ship</v>
      </c>
      <c r="C73" s="7" t="s">
        <v>167</v>
      </c>
      <c r="D73" s="7" t="s">
        <v>123</v>
      </c>
      <c r="E73" s="108">
        <v>2.8700000000000002E-3</v>
      </c>
    </row>
    <row r="74" spans="1:7" x14ac:dyDescent="0.45">
      <c r="A74" s="272"/>
      <c r="B74" s="259"/>
      <c r="C74" s="7" t="s">
        <v>168</v>
      </c>
      <c r="D74" s="7" t="s">
        <v>123</v>
      </c>
      <c r="E74" s="108">
        <v>3.81E-3</v>
      </c>
    </row>
    <row r="75" spans="1:7" x14ac:dyDescent="0.45">
      <c r="A75" s="272"/>
      <c r="B75" s="259"/>
      <c r="C75" s="7" t="s">
        <v>169</v>
      </c>
      <c r="D75" s="7" t="s">
        <v>123</v>
      </c>
      <c r="E75" s="108">
        <v>3.81E-3</v>
      </c>
    </row>
    <row r="76" spans="1:7" x14ac:dyDescent="0.45">
      <c r="A76" s="272"/>
      <c r="B76" s="259"/>
      <c r="C76" s="7" t="s">
        <v>170</v>
      </c>
      <c r="D76" s="7" t="s">
        <v>123</v>
      </c>
      <c r="E76" s="108">
        <v>4.5900000000000003E-3</v>
      </c>
    </row>
    <row r="77" spans="1:7" x14ac:dyDescent="0.45">
      <c r="A77" s="272"/>
      <c r="B77" s="259"/>
      <c r="C77" s="7" t="s">
        <v>171</v>
      </c>
      <c r="D77" s="7" t="s">
        <v>123</v>
      </c>
      <c r="E77" s="108">
        <v>7.3699999999999998E-3</v>
      </c>
    </row>
    <row r="78" spans="1:7" x14ac:dyDescent="0.45">
      <c r="A78" s="272"/>
      <c r="B78" s="259"/>
      <c r="C78" s="7" t="s">
        <v>172</v>
      </c>
      <c r="D78" s="7" t="s">
        <v>123</v>
      </c>
      <c r="E78" s="108">
        <v>8.3300000000000006E-3</v>
      </c>
    </row>
    <row r="79" spans="1:7" x14ac:dyDescent="0.45">
      <c r="A79" s="272"/>
      <c r="B79" s="259"/>
      <c r="C79" s="7" t="s">
        <v>140</v>
      </c>
      <c r="D79" s="7" t="s">
        <v>123</v>
      </c>
      <c r="E79" s="108">
        <v>3.65E-3</v>
      </c>
    </row>
    <row r="80" spans="1:7" x14ac:dyDescent="0.45">
      <c r="A80" s="272"/>
      <c r="B80" s="259" t="str">
        <f>G63</f>
        <v>Vehicle Transport</v>
      </c>
      <c r="C80" s="7" t="s">
        <v>174</v>
      </c>
      <c r="D80" s="7" t="s">
        <v>123</v>
      </c>
      <c r="E80" s="108">
        <v>7.3499999999999998E-3</v>
      </c>
    </row>
    <row r="81" spans="1:5" x14ac:dyDescent="0.45">
      <c r="A81" s="272"/>
      <c r="B81" s="259"/>
      <c r="C81" s="7" t="s">
        <v>175</v>
      </c>
      <c r="D81" s="7" t="s">
        <v>123</v>
      </c>
      <c r="E81" s="108">
        <v>1.3220000000000001E-2</v>
      </c>
    </row>
    <row r="82" spans="1:5" x14ac:dyDescent="0.45">
      <c r="A82" s="272"/>
      <c r="B82" s="259"/>
      <c r="C82" s="7" t="s">
        <v>140</v>
      </c>
      <c r="D82" s="7" t="s">
        <v>123</v>
      </c>
      <c r="E82" s="108">
        <v>8.7299999999999999E-3</v>
      </c>
    </row>
    <row r="83" spans="1:5" x14ac:dyDescent="0.45">
      <c r="A83" s="272"/>
      <c r="B83" s="259" t="str">
        <f>G64</f>
        <v>RoRo-Ferry</v>
      </c>
      <c r="C83" s="7" t="s">
        <v>177</v>
      </c>
      <c r="D83" s="7" t="s">
        <v>123</v>
      </c>
      <c r="E83" s="108">
        <v>1.136E-2</v>
      </c>
    </row>
    <row r="84" spans="1:5" x14ac:dyDescent="0.45">
      <c r="A84" s="272"/>
      <c r="B84" s="259"/>
      <c r="C84" s="7" t="s">
        <v>178</v>
      </c>
      <c r="D84" s="7" t="s">
        <v>123</v>
      </c>
      <c r="E84" s="108">
        <v>1.384E-2</v>
      </c>
    </row>
    <row r="85" spans="1:5" ht="14.65" thickBot="1" x14ac:dyDescent="0.5">
      <c r="A85" s="273"/>
      <c r="B85" s="260"/>
      <c r="C85" s="109" t="s">
        <v>140</v>
      </c>
      <c r="D85" s="109" t="s">
        <v>123</v>
      </c>
      <c r="E85" s="110">
        <v>1.17E-2</v>
      </c>
    </row>
    <row r="86" spans="1:5" x14ac:dyDescent="0.45">
      <c r="A86" s="105"/>
      <c r="B86" s="19"/>
      <c r="C86" s="7"/>
      <c r="D86" s="7"/>
      <c r="E86" s="7"/>
    </row>
    <row r="87" spans="1:5" x14ac:dyDescent="0.45">
      <c r="A87" s="105"/>
      <c r="B87" s="19"/>
      <c r="C87" s="7"/>
      <c r="D87" s="7"/>
      <c r="E87" s="7"/>
    </row>
  </sheetData>
  <mergeCells count="34">
    <mergeCell ref="A17:A24"/>
    <mergeCell ref="A27:A29"/>
    <mergeCell ref="A34:A57"/>
    <mergeCell ref="A59:A85"/>
    <mergeCell ref="M1:Q1"/>
    <mergeCell ref="A8:A15"/>
    <mergeCell ref="A2:A5"/>
    <mergeCell ref="R1:V1"/>
    <mergeCell ref="W1:AA1"/>
    <mergeCell ref="B83:B85"/>
    <mergeCell ref="B34:B40"/>
    <mergeCell ref="B41:B46"/>
    <mergeCell ref="B47:B51"/>
    <mergeCell ref="B52:B54"/>
    <mergeCell ref="B55:B57"/>
    <mergeCell ref="B59:B65"/>
    <mergeCell ref="B66:B72"/>
    <mergeCell ref="B73:B79"/>
    <mergeCell ref="B80:B82"/>
    <mergeCell ref="AB1:AC1"/>
    <mergeCell ref="AD2:AE2"/>
    <mergeCell ref="AD1:AM1"/>
    <mergeCell ref="AF2:AG2"/>
    <mergeCell ref="AH2:AI2"/>
    <mergeCell ref="AJ2:AK2"/>
    <mergeCell ref="AL2:AM2"/>
    <mergeCell ref="AN1:BA1"/>
    <mergeCell ref="AN2:AO2"/>
    <mergeCell ref="AP2:AQ2"/>
    <mergeCell ref="AR2:AS2"/>
    <mergeCell ref="AT2:AU2"/>
    <mergeCell ref="AV2:AW2"/>
    <mergeCell ref="AX2:AY2"/>
    <mergeCell ref="AZ2:BA2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8614-C864-4FFA-B94E-8181EA3138A6}">
  <dimension ref="A1:A8"/>
  <sheetViews>
    <sheetView workbookViewId="0">
      <selection activeCell="A7" sqref="A7"/>
    </sheetView>
  </sheetViews>
  <sheetFormatPr defaultRowHeight="14.25" x14ac:dyDescent="0.45"/>
  <cols>
    <col min="1" max="1" width="22.33203125" bestFit="1" customWidth="1"/>
  </cols>
  <sheetData>
    <row r="1" spans="1:1" x14ac:dyDescent="0.45">
      <c r="A1" s="150" t="s">
        <v>91</v>
      </c>
    </row>
    <row r="2" spans="1:1" x14ac:dyDescent="0.45">
      <c r="A2" s="5" t="s">
        <v>97</v>
      </c>
    </row>
    <row r="3" spans="1:1" x14ac:dyDescent="0.45">
      <c r="A3" s="5" t="s">
        <v>107</v>
      </c>
    </row>
    <row r="4" spans="1:1" x14ac:dyDescent="0.45">
      <c r="A4" s="5" t="s">
        <v>116</v>
      </c>
    </row>
    <row r="5" spans="1:1" x14ac:dyDescent="0.45">
      <c r="A5" s="5" t="s">
        <v>121</v>
      </c>
    </row>
    <row r="6" spans="1:1" x14ac:dyDescent="0.45">
      <c r="A6" s="5" t="s">
        <v>128</v>
      </c>
    </row>
    <row r="7" spans="1:1" x14ac:dyDescent="0.45">
      <c r="A7" s="5" t="s">
        <v>132</v>
      </c>
    </row>
    <row r="8" spans="1:1" x14ac:dyDescent="0.45">
      <c r="A8" s="5" t="s">
        <v>155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84A5-9A90-4D44-86DE-A8D719EB4875}">
  <dimension ref="A1:C37"/>
  <sheetViews>
    <sheetView zoomScale="70" zoomScaleNormal="70" workbookViewId="0">
      <selection activeCell="B1" sqref="B1"/>
    </sheetView>
  </sheetViews>
  <sheetFormatPr defaultRowHeight="14.25" x14ac:dyDescent="0.45"/>
  <cols>
    <col min="1" max="1" width="23" customWidth="1"/>
    <col min="2" max="2" width="21.796875" bestFit="1" customWidth="1"/>
    <col min="3" max="3" width="32.86328125" bestFit="1" customWidth="1"/>
  </cols>
  <sheetData>
    <row r="1" spans="1:3" ht="28.5" x14ac:dyDescent="0.45">
      <c r="A1" s="112" t="s">
        <v>196</v>
      </c>
      <c r="B1" s="112" t="s">
        <v>197</v>
      </c>
      <c r="C1" s="113"/>
    </row>
    <row r="2" spans="1:3" x14ac:dyDescent="0.45">
      <c r="A2" s="121" t="s">
        <v>198</v>
      </c>
      <c r="B2" s="123">
        <v>2.1800000000000002</v>
      </c>
      <c r="C2" s="275"/>
    </row>
    <row r="3" spans="1:3" x14ac:dyDescent="0.45">
      <c r="A3" s="121" t="s">
        <v>199</v>
      </c>
      <c r="B3" s="123">
        <v>2.7</v>
      </c>
      <c r="C3" s="275"/>
    </row>
    <row r="4" spans="1:3" x14ac:dyDescent="0.45">
      <c r="A4" s="121" t="s">
        <v>200</v>
      </c>
      <c r="B4" s="123">
        <v>5.4</v>
      </c>
      <c r="C4" s="275"/>
    </row>
    <row r="5" spans="1:3" x14ac:dyDescent="0.45">
      <c r="A5" s="121" t="s">
        <v>201</v>
      </c>
      <c r="B5" s="123">
        <v>3.4</v>
      </c>
      <c r="C5" s="275"/>
    </row>
    <row r="6" spans="1:3" x14ac:dyDescent="0.45">
      <c r="A6" s="121" t="s">
        <v>202</v>
      </c>
      <c r="B6" s="123">
        <v>1.8</v>
      </c>
      <c r="C6" s="275"/>
    </row>
    <row r="7" spans="1:3" ht="28.5" x14ac:dyDescent="0.45">
      <c r="A7" s="121" t="s">
        <v>203</v>
      </c>
      <c r="B7" s="126">
        <v>2.52</v>
      </c>
      <c r="C7" s="275"/>
    </row>
    <row r="8" spans="1:3" x14ac:dyDescent="0.45">
      <c r="A8" s="122" t="s">
        <v>243</v>
      </c>
      <c r="B8" s="151">
        <v>7.5</v>
      </c>
      <c r="C8" s="275"/>
    </row>
    <row r="9" spans="1:3" x14ac:dyDescent="0.45">
      <c r="A9" s="121" t="s">
        <v>244</v>
      </c>
      <c r="B9" s="123">
        <v>15</v>
      </c>
      <c r="C9" s="275"/>
    </row>
    <row r="10" spans="1:3" x14ac:dyDescent="0.45">
      <c r="A10" s="125" t="s">
        <v>245</v>
      </c>
      <c r="B10" s="154">
        <v>15</v>
      </c>
      <c r="C10" s="275"/>
    </row>
    <row r="11" spans="1:3" x14ac:dyDescent="0.45">
      <c r="A11" s="125" t="s">
        <v>246</v>
      </c>
      <c r="B11" s="152">
        <v>22</v>
      </c>
      <c r="C11" s="275"/>
    </row>
    <row r="12" spans="1:3" ht="15.75" x14ac:dyDescent="0.5">
      <c r="A12" s="153" t="s">
        <v>247</v>
      </c>
      <c r="B12" s="152">
        <v>30</v>
      </c>
      <c r="C12" s="275"/>
    </row>
    <row r="13" spans="1:3" x14ac:dyDescent="0.45">
      <c r="A13" s="125"/>
      <c r="B13" s="152"/>
      <c r="C13" s="275"/>
    </row>
    <row r="14" spans="1:3" x14ac:dyDescent="0.45">
      <c r="A14" s="122"/>
      <c r="B14" s="151"/>
      <c r="C14" s="275"/>
    </row>
    <row r="15" spans="1:3" x14ac:dyDescent="0.45">
      <c r="A15" s="121"/>
      <c r="B15" s="123"/>
      <c r="C15" s="275"/>
    </row>
    <row r="16" spans="1:3" x14ac:dyDescent="0.45">
      <c r="A16" s="125"/>
      <c r="B16" s="152"/>
      <c r="C16" s="275"/>
    </row>
    <row r="17" spans="1:3" x14ac:dyDescent="0.45">
      <c r="A17" s="125"/>
      <c r="B17" s="118"/>
      <c r="C17" s="275"/>
    </row>
    <row r="18" spans="1:3" x14ac:dyDescent="0.45">
      <c r="A18" s="125"/>
      <c r="B18" s="118"/>
      <c r="C18" s="275"/>
    </row>
    <row r="19" spans="1:3" x14ac:dyDescent="0.45">
      <c r="A19" s="125"/>
      <c r="B19" s="118"/>
      <c r="C19" s="275"/>
    </row>
    <row r="20" spans="1:3" x14ac:dyDescent="0.45">
      <c r="A20" s="125"/>
      <c r="B20" s="118"/>
      <c r="C20" s="275"/>
    </row>
    <row r="21" spans="1:3" x14ac:dyDescent="0.45">
      <c r="A21" s="125"/>
      <c r="B21" s="118"/>
      <c r="C21" s="275"/>
    </row>
    <row r="22" spans="1:3" x14ac:dyDescent="0.45">
      <c r="A22" s="122"/>
      <c r="B22" s="124"/>
      <c r="C22" s="275"/>
    </row>
    <row r="23" spans="1:3" ht="14.25" customHeight="1" x14ac:dyDescent="0.45">
      <c r="A23" s="121"/>
      <c r="B23" s="116"/>
      <c r="C23" s="276"/>
    </row>
    <row r="24" spans="1:3" x14ac:dyDescent="0.45">
      <c r="A24" s="125"/>
      <c r="B24" s="118"/>
      <c r="C24" s="276"/>
    </row>
    <row r="25" spans="1:3" x14ac:dyDescent="0.45">
      <c r="A25" s="125"/>
      <c r="B25" s="118"/>
      <c r="C25" s="276"/>
    </row>
    <row r="26" spans="1:3" x14ac:dyDescent="0.45">
      <c r="A26" s="125"/>
      <c r="B26" s="118"/>
      <c r="C26" s="276"/>
    </row>
    <row r="27" spans="1:3" x14ac:dyDescent="0.45">
      <c r="A27" s="125"/>
      <c r="B27" s="118"/>
      <c r="C27" s="276"/>
    </row>
    <row r="28" spans="1:3" x14ac:dyDescent="0.45">
      <c r="A28" s="122"/>
      <c r="B28" s="124"/>
      <c r="C28" s="276"/>
    </row>
    <row r="29" spans="1:3" ht="28.5" customHeight="1" x14ac:dyDescent="0.45">
      <c r="A29" s="121"/>
      <c r="B29" s="142"/>
      <c r="C29" s="274"/>
    </row>
    <row r="30" spans="1:3" x14ac:dyDescent="0.45">
      <c r="A30" s="125"/>
      <c r="B30" s="143"/>
      <c r="C30" s="274"/>
    </row>
    <row r="31" spans="1:3" x14ac:dyDescent="0.45">
      <c r="A31" s="125"/>
      <c r="B31" s="143"/>
      <c r="C31" s="274"/>
    </row>
    <row r="32" spans="1:3" x14ac:dyDescent="0.45">
      <c r="A32" s="125"/>
      <c r="B32" s="143"/>
      <c r="C32" s="274"/>
    </row>
    <row r="33" spans="1:3" x14ac:dyDescent="0.45">
      <c r="A33" s="122"/>
      <c r="B33" s="144"/>
      <c r="C33" s="274"/>
    </row>
    <row r="34" spans="1:3" x14ac:dyDescent="0.45">
      <c r="A34" s="113"/>
      <c r="B34" s="113"/>
      <c r="C34" s="113"/>
    </row>
    <row r="35" spans="1:3" x14ac:dyDescent="0.45">
      <c r="A35" s="113"/>
      <c r="B35" s="113"/>
      <c r="C35" s="113"/>
    </row>
    <row r="36" spans="1:3" x14ac:dyDescent="0.45">
      <c r="A36" s="113"/>
      <c r="B36" s="113"/>
      <c r="C36" s="113"/>
    </row>
    <row r="37" spans="1:3" x14ac:dyDescent="0.45">
      <c r="A37" s="113"/>
      <c r="B37" s="113"/>
      <c r="C37" s="114"/>
    </row>
  </sheetData>
  <mergeCells count="6">
    <mergeCell ref="C29:C33"/>
    <mergeCell ref="C2:C3"/>
    <mergeCell ref="C4:C8"/>
    <mergeCell ref="C9:C14"/>
    <mergeCell ref="C15:C22"/>
    <mergeCell ref="C23:C28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BB6E-A337-41B0-A2B4-17393D0FD977}">
  <dimension ref="A1:I20"/>
  <sheetViews>
    <sheetView zoomScale="85" zoomScaleNormal="85" workbookViewId="0">
      <selection activeCell="B3" sqref="A2:B3"/>
    </sheetView>
  </sheetViews>
  <sheetFormatPr defaultRowHeight="14.25" x14ac:dyDescent="0.45"/>
  <cols>
    <col min="1" max="1" width="18" bestFit="1" customWidth="1"/>
    <col min="2" max="2" width="14.19921875" bestFit="1" customWidth="1"/>
    <col min="3" max="3" width="2.86328125" bestFit="1" customWidth="1"/>
  </cols>
  <sheetData>
    <row r="1" spans="1:9" ht="28.5" x14ac:dyDescent="0.45">
      <c r="A1" s="112" t="s">
        <v>204</v>
      </c>
      <c r="B1" s="112" t="s">
        <v>236</v>
      </c>
      <c r="C1" s="119"/>
      <c r="D1" s="119"/>
      <c r="E1" s="119"/>
      <c r="F1" s="119"/>
      <c r="G1" s="119"/>
      <c r="H1" s="119"/>
      <c r="I1" s="119"/>
    </row>
    <row r="2" spans="1:9" x14ac:dyDescent="0.45">
      <c r="A2" s="145" t="s">
        <v>205</v>
      </c>
      <c r="B2" s="123">
        <v>0.25600000000000001</v>
      </c>
      <c r="C2" s="278"/>
      <c r="D2" s="278"/>
      <c r="E2" s="281"/>
      <c r="F2" s="281"/>
      <c r="G2" s="281"/>
      <c r="H2" s="281"/>
      <c r="I2" s="277"/>
    </row>
    <row r="3" spans="1:9" x14ac:dyDescent="0.45">
      <c r="A3" s="111" t="s">
        <v>220</v>
      </c>
      <c r="B3" s="111">
        <v>0.36099999999999999</v>
      </c>
      <c r="C3" s="279"/>
      <c r="D3" s="279"/>
      <c r="E3" s="282"/>
      <c r="F3" s="282"/>
      <c r="G3" s="282"/>
      <c r="H3" s="282"/>
      <c r="I3" s="277"/>
    </row>
    <row r="4" spans="1:9" ht="14.25" customHeight="1" x14ac:dyDescent="0.45">
      <c r="A4" s="146"/>
      <c r="B4" s="118"/>
      <c r="C4" s="279"/>
      <c r="D4" s="279"/>
      <c r="E4" s="282"/>
      <c r="F4" s="282"/>
      <c r="G4" s="282"/>
      <c r="H4" s="282"/>
      <c r="I4" s="277"/>
    </row>
    <row r="5" spans="1:9" ht="14.25" customHeight="1" x14ac:dyDescent="0.45">
      <c r="A5" s="146"/>
      <c r="B5" s="118"/>
      <c r="C5" s="279"/>
      <c r="D5" s="279"/>
      <c r="E5" s="282"/>
      <c r="F5" s="282"/>
      <c r="G5" s="282"/>
      <c r="H5" s="282"/>
      <c r="I5" s="277"/>
    </row>
    <row r="6" spans="1:9" ht="14.25" customHeight="1" x14ac:dyDescent="0.45">
      <c r="A6" s="146"/>
      <c r="B6" s="118"/>
      <c r="C6" s="279"/>
      <c r="D6" s="279"/>
      <c r="E6" s="282"/>
      <c r="F6" s="282"/>
      <c r="G6" s="282"/>
      <c r="H6" s="282"/>
      <c r="I6" s="277"/>
    </row>
    <row r="7" spans="1:9" ht="14.25" customHeight="1" x14ac:dyDescent="0.45">
      <c r="A7" s="146"/>
      <c r="B7" s="118"/>
      <c r="C7" s="279"/>
      <c r="D7" s="279"/>
      <c r="E7" s="282"/>
      <c r="F7" s="282"/>
      <c r="G7" s="282"/>
      <c r="H7" s="282"/>
      <c r="I7" s="277"/>
    </row>
    <row r="8" spans="1:9" ht="14.25" customHeight="1" x14ac:dyDescent="0.45">
      <c r="A8" s="146"/>
      <c r="B8" s="118"/>
      <c r="C8" s="279"/>
      <c r="D8" s="279"/>
      <c r="E8" s="282"/>
      <c r="F8" s="282"/>
      <c r="G8" s="282"/>
      <c r="H8" s="282"/>
      <c r="I8" s="277"/>
    </row>
    <row r="9" spans="1:9" ht="14.25" customHeight="1" x14ac:dyDescent="0.45">
      <c r="A9" s="147"/>
      <c r="B9" s="124"/>
      <c r="C9" s="280"/>
      <c r="D9" s="280"/>
      <c r="E9" s="283"/>
      <c r="F9" s="283"/>
      <c r="G9" s="283"/>
      <c r="H9" s="283"/>
      <c r="I9" s="277"/>
    </row>
    <row r="10" spans="1:9" x14ac:dyDescent="0.45">
      <c r="A10" s="111"/>
      <c r="B10" s="111"/>
      <c r="C10" s="120"/>
      <c r="D10" s="119"/>
      <c r="E10" s="119"/>
      <c r="F10" s="119"/>
      <c r="G10" s="119"/>
      <c r="H10" s="119"/>
      <c r="I10" s="119"/>
    </row>
    <row r="11" spans="1:9" x14ac:dyDescent="0.45">
      <c r="A11" s="111"/>
      <c r="B11" s="111"/>
      <c r="C11" s="127"/>
      <c r="D11" s="127"/>
      <c r="E11" s="119"/>
      <c r="F11" s="119"/>
      <c r="G11" s="119"/>
      <c r="H11" s="119"/>
      <c r="I11" s="119"/>
    </row>
    <row r="12" spans="1:9" x14ac:dyDescent="0.45">
      <c r="A12" s="112"/>
      <c r="B12" s="111"/>
      <c r="C12" s="119"/>
      <c r="D12" s="119"/>
      <c r="E12" s="119"/>
      <c r="F12" s="119"/>
      <c r="G12" s="119"/>
      <c r="H12" s="119"/>
      <c r="I12" s="119"/>
    </row>
    <row r="13" spans="1:9" x14ac:dyDescent="0.45">
      <c r="A13" s="111"/>
      <c r="B13" s="111"/>
      <c r="C13" s="119"/>
      <c r="D13" s="119"/>
      <c r="E13" s="119"/>
      <c r="F13" s="119"/>
      <c r="G13" s="119"/>
      <c r="H13" s="119"/>
      <c r="I13" s="119"/>
    </row>
    <row r="14" spans="1:9" x14ac:dyDescent="0.45">
      <c r="A14" s="111"/>
      <c r="B14" s="111"/>
      <c r="C14" s="128"/>
      <c r="D14" s="129"/>
      <c r="E14" s="119"/>
      <c r="F14" s="119"/>
      <c r="G14" s="119"/>
      <c r="H14" s="119"/>
      <c r="I14" s="119"/>
    </row>
    <row r="15" spans="1:9" x14ac:dyDescent="0.45">
      <c r="A15" s="112"/>
      <c r="B15" s="111"/>
      <c r="C15" s="119"/>
      <c r="D15" s="119"/>
      <c r="E15" s="119"/>
      <c r="F15" s="119"/>
      <c r="G15" s="119"/>
      <c r="H15" s="119"/>
      <c r="I15" s="119"/>
    </row>
    <row r="16" spans="1:9" x14ac:dyDescent="0.45">
      <c r="A16" s="112"/>
      <c r="B16" s="111"/>
      <c r="C16" s="119" t="s">
        <v>206</v>
      </c>
      <c r="D16" s="119"/>
      <c r="E16" s="119"/>
      <c r="F16" s="119"/>
      <c r="G16" s="119"/>
      <c r="H16" s="119"/>
      <c r="I16" s="119"/>
    </row>
    <row r="17" spans="1:9" x14ac:dyDescent="0.45">
      <c r="A17" s="112"/>
      <c r="B17" s="111"/>
      <c r="C17" s="119"/>
      <c r="D17" s="119"/>
      <c r="E17" s="119"/>
      <c r="F17" s="119"/>
      <c r="G17" s="119"/>
      <c r="H17" s="119"/>
      <c r="I17" s="119"/>
    </row>
    <row r="18" spans="1:9" x14ac:dyDescent="0.45">
      <c r="A18" s="112"/>
      <c r="B18" s="111"/>
      <c r="C18" s="119"/>
      <c r="D18" s="119"/>
      <c r="E18" s="119"/>
      <c r="F18" s="119"/>
      <c r="G18" s="119"/>
      <c r="H18" s="119"/>
      <c r="I18" s="119"/>
    </row>
    <row r="19" spans="1:9" x14ac:dyDescent="0.45">
      <c r="A19" s="112"/>
      <c r="B19" s="111"/>
      <c r="C19" s="119"/>
      <c r="D19" s="119"/>
      <c r="E19" s="119"/>
      <c r="F19" s="119"/>
      <c r="G19" s="119"/>
      <c r="H19" s="119"/>
      <c r="I19" s="119"/>
    </row>
    <row r="20" spans="1:9" x14ac:dyDescent="0.45">
      <c r="A20" s="112"/>
      <c r="B20" s="111"/>
      <c r="C20" s="119"/>
      <c r="D20" s="119"/>
      <c r="E20" s="119"/>
      <c r="F20" s="119"/>
      <c r="G20" s="119"/>
      <c r="H20" s="119"/>
      <c r="I20" s="119"/>
    </row>
  </sheetData>
  <mergeCells count="7">
    <mergeCell ref="I2:I9"/>
    <mergeCell ref="C2:C9"/>
    <mergeCell ref="D2:D9"/>
    <mergeCell ref="E2:E9"/>
    <mergeCell ref="F2:F9"/>
    <mergeCell ref="G2:G9"/>
    <mergeCell ref="H2:H9"/>
  </mergeCell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C664-4044-450B-B778-DDDA7976179A}">
  <dimension ref="A1:A5"/>
  <sheetViews>
    <sheetView workbookViewId="0">
      <selection sqref="A1:A5"/>
    </sheetView>
  </sheetViews>
  <sheetFormatPr defaultRowHeight="14.25" x14ac:dyDescent="0.45"/>
  <cols>
    <col min="1" max="1" width="22.19921875" customWidth="1"/>
  </cols>
  <sheetData>
    <row r="1" spans="1:1" x14ac:dyDescent="0.45">
      <c r="A1" s="1" t="s">
        <v>612</v>
      </c>
    </row>
    <row r="2" spans="1:1" x14ac:dyDescent="0.45">
      <c r="A2" s="5" t="s">
        <v>613</v>
      </c>
    </row>
    <row r="3" spans="1:1" x14ac:dyDescent="0.45">
      <c r="A3" s="5" t="s">
        <v>614</v>
      </c>
    </row>
    <row r="4" spans="1:1" x14ac:dyDescent="0.45">
      <c r="A4" s="5" t="s">
        <v>615</v>
      </c>
    </row>
    <row r="5" spans="1:1" x14ac:dyDescent="0.45">
      <c r="A5" s="5" t="s">
        <v>616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35E6-99DC-4D0E-A57D-2CB5817B2384}">
  <dimension ref="A1:A5"/>
  <sheetViews>
    <sheetView workbookViewId="0">
      <selection activeCell="A3" sqref="A3"/>
    </sheetView>
  </sheetViews>
  <sheetFormatPr defaultRowHeight="14.25" x14ac:dyDescent="0.45"/>
  <cols>
    <col min="1" max="1" width="26.1328125" customWidth="1"/>
  </cols>
  <sheetData>
    <row r="1" spans="1:1" x14ac:dyDescent="0.45">
      <c r="A1" s="1" t="s">
        <v>607</v>
      </c>
    </row>
    <row r="2" spans="1:1" x14ac:dyDescent="0.45">
      <c r="A2" s="5" t="s">
        <v>608</v>
      </c>
    </row>
    <row r="3" spans="1:1" x14ac:dyDescent="0.45">
      <c r="A3" s="5" t="s">
        <v>609</v>
      </c>
    </row>
    <row r="4" spans="1:1" x14ac:dyDescent="0.45">
      <c r="A4" s="5" t="s">
        <v>610</v>
      </c>
    </row>
    <row r="5" spans="1:1" x14ac:dyDescent="0.45">
      <c r="A5" s="5" t="s">
        <v>611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35567-E41B-41D3-B781-DFF2A5801EBF}">
  <dimension ref="A1:A5"/>
  <sheetViews>
    <sheetView workbookViewId="0"/>
  </sheetViews>
  <sheetFormatPr defaultRowHeight="14.25" x14ac:dyDescent="0.45"/>
  <cols>
    <col min="1" max="1" width="24.33203125" customWidth="1"/>
  </cols>
  <sheetData>
    <row r="1" spans="1:1" x14ac:dyDescent="0.45">
      <c r="A1" s="1" t="s">
        <v>602</v>
      </c>
    </row>
    <row r="2" spans="1:1" x14ac:dyDescent="0.45">
      <c r="A2" s="5" t="s">
        <v>603</v>
      </c>
    </row>
    <row r="3" spans="1:1" x14ac:dyDescent="0.45">
      <c r="A3" s="5" t="s">
        <v>604</v>
      </c>
    </row>
    <row r="4" spans="1:1" x14ac:dyDescent="0.45">
      <c r="A4" s="5" t="s">
        <v>605</v>
      </c>
    </row>
    <row r="5" spans="1:1" x14ac:dyDescent="0.45">
      <c r="A5" s="5" t="s">
        <v>606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2BC8-9C70-4496-B939-32341A5E3203}">
  <dimension ref="A1:A10"/>
  <sheetViews>
    <sheetView workbookViewId="0">
      <selection activeCell="B12" sqref="B12"/>
    </sheetView>
  </sheetViews>
  <sheetFormatPr defaultRowHeight="14.25" x14ac:dyDescent="0.45"/>
  <cols>
    <col min="1" max="1" width="21.33203125" customWidth="1"/>
  </cols>
  <sheetData>
    <row r="1" spans="1:1" x14ac:dyDescent="0.45">
      <c r="A1" s="1" t="s">
        <v>597</v>
      </c>
    </row>
    <row r="2" spans="1:1" x14ac:dyDescent="0.45">
      <c r="A2" s="5" t="s">
        <v>598</v>
      </c>
    </row>
    <row r="3" spans="1:1" x14ac:dyDescent="0.45">
      <c r="A3" s="5" t="s">
        <v>599</v>
      </c>
    </row>
    <row r="4" spans="1:1" x14ac:dyDescent="0.45">
      <c r="A4" s="5" t="s">
        <v>600</v>
      </c>
    </row>
    <row r="5" spans="1:1" x14ac:dyDescent="0.45">
      <c r="A5" s="5" t="s">
        <v>601</v>
      </c>
    </row>
    <row r="6" spans="1:1" x14ac:dyDescent="0.45">
      <c r="A6" s="5"/>
    </row>
    <row r="7" spans="1:1" x14ac:dyDescent="0.45">
      <c r="A7" s="5"/>
    </row>
    <row r="8" spans="1:1" x14ac:dyDescent="0.45">
      <c r="A8" s="5"/>
    </row>
    <row r="9" spans="1:1" x14ac:dyDescent="0.45">
      <c r="A9" s="5"/>
    </row>
    <row r="10" spans="1:1" x14ac:dyDescent="0.45">
      <c r="A10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8563-BC2E-44F0-BF67-4E97AC986071}">
  <dimension ref="A1:C9"/>
  <sheetViews>
    <sheetView workbookViewId="0">
      <selection activeCell="E4" sqref="E4"/>
    </sheetView>
  </sheetViews>
  <sheetFormatPr defaultRowHeight="14.25" x14ac:dyDescent="0.45"/>
  <cols>
    <col min="1" max="1" width="17.53125" customWidth="1"/>
    <col min="3" max="3" width="19.53125" customWidth="1"/>
  </cols>
  <sheetData>
    <row r="1" spans="1:3" x14ac:dyDescent="0.45">
      <c r="A1" s="161" t="s">
        <v>617</v>
      </c>
      <c r="C1" s="161" t="s">
        <v>1132</v>
      </c>
    </row>
    <row r="2" spans="1:3" x14ac:dyDescent="0.45">
      <c r="A2" s="181" t="s">
        <v>618</v>
      </c>
      <c r="C2" s="181" t="s">
        <v>1133</v>
      </c>
    </row>
    <row r="3" spans="1:3" x14ac:dyDescent="0.45">
      <c r="A3" s="181" t="s">
        <v>619</v>
      </c>
      <c r="C3" s="181" t="s">
        <v>1134</v>
      </c>
    </row>
    <row r="4" spans="1:3" x14ac:dyDescent="0.45">
      <c r="A4" s="181" t="s">
        <v>620</v>
      </c>
      <c r="C4" s="181" t="s">
        <v>1135</v>
      </c>
    </row>
    <row r="5" spans="1:3" x14ac:dyDescent="0.45">
      <c r="A5" s="181" t="s">
        <v>621</v>
      </c>
      <c r="C5" s="181"/>
    </row>
    <row r="6" spans="1:3" ht="28.5" x14ac:dyDescent="0.45">
      <c r="A6" s="181" t="s">
        <v>622</v>
      </c>
      <c r="C6" s="181"/>
    </row>
    <row r="7" spans="1:3" x14ac:dyDescent="0.45">
      <c r="A7" s="181" t="s">
        <v>623</v>
      </c>
      <c r="C7" s="181"/>
    </row>
    <row r="8" spans="1:3" x14ac:dyDescent="0.45">
      <c r="A8" s="181" t="s">
        <v>624</v>
      </c>
      <c r="C8" s="181"/>
    </row>
    <row r="9" spans="1:3" x14ac:dyDescent="0.45">
      <c r="A9" s="181" t="s">
        <v>625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ED27-5C55-4A47-B051-D3E221619D22}">
  <dimension ref="A1:E100"/>
  <sheetViews>
    <sheetView workbookViewId="0">
      <selection activeCell="E15" sqref="E15"/>
    </sheetView>
  </sheetViews>
  <sheetFormatPr defaultRowHeight="14.25" x14ac:dyDescent="0.45"/>
  <cols>
    <col min="1" max="1" width="16" customWidth="1"/>
    <col min="2" max="2" width="21" customWidth="1"/>
    <col min="3" max="3" width="14.33203125" customWidth="1"/>
    <col min="5" max="5" width="16.53125" customWidth="1"/>
  </cols>
  <sheetData>
    <row r="1" spans="1:5" x14ac:dyDescent="0.45">
      <c r="A1" s="162" t="s">
        <v>626</v>
      </c>
      <c r="B1" s="162" t="s">
        <v>627</v>
      </c>
      <c r="C1" s="162" t="s">
        <v>628</v>
      </c>
      <c r="D1" s="233" t="s">
        <v>597</v>
      </c>
      <c r="E1" s="233" t="s">
        <v>1065</v>
      </c>
    </row>
    <row r="2" spans="1:5" x14ac:dyDescent="0.45">
      <c r="A2" s="164" t="s">
        <v>629</v>
      </c>
      <c r="B2" s="177">
        <v>15</v>
      </c>
      <c r="C2" s="167" t="s">
        <v>630</v>
      </c>
    </row>
    <row r="3" spans="1:5" x14ac:dyDescent="0.45">
      <c r="A3" s="164" t="s">
        <v>631</v>
      </c>
      <c r="B3" s="177">
        <v>15</v>
      </c>
      <c r="C3" s="165" t="s">
        <v>630</v>
      </c>
    </row>
    <row r="4" spans="1:5" x14ac:dyDescent="0.45">
      <c r="A4" s="164" t="s">
        <v>632</v>
      </c>
      <c r="B4" s="177">
        <v>18.5</v>
      </c>
      <c r="C4" s="165" t="s">
        <v>630</v>
      </c>
    </row>
    <row r="5" spans="1:5" x14ac:dyDescent="0.45">
      <c r="A5" s="164" t="s">
        <v>633</v>
      </c>
      <c r="B5" s="177">
        <v>18.5</v>
      </c>
      <c r="C5" s="165" t="s">
        <v>630</v>
      </c>
    </row>
    <row r="6" spans="1:5" x14ac:dyDescent="0.45">
      <c r="A6" s="164" t="s">
        <v>634</v>
      </c>
      <c r="B6" s="177">
        <v>18.5</v>
      </c>
      <c r="C6" s="165" t="s">
        <v>630</v>
      </c>
    </row>
    <row r="7" spans="1:5" x14ac:dyDescent="0.45">
      <c r="A7" s="164" t="s">
        <v>635</v>
      </c>
      <c r="B7" s="177">
        <v>18.5</v>
      </c>
      <c r="C7" s="165" t="s">
        <v>630</v>
      </c>
    </row>
    <row r="8" spans="1:5" x14ac:dyDescent="0.45">
      <c r="A8" s="164" t="s">
        <v>636</v>
      </c>
      <c r="B8" s="177">
        <v>18.5</v>
      </c>
      <c r="C8" s="165" t="s">
        <v>630</v>
      </c>
    </row>
    <row r="9" spans="1:5" x14ac:dyDescent="0.45">
      <c r="A9" s="164" t="s">
        <v>637</v>
      </c>
      <c r="B9" s="177">
        <v>18.5</v>
      </c>
      <c r="C9" s="165" t="s">
        <v>630</v>
      </c>
    </row>
    <row r="10" spans="1:5" x14ac:dyDescent="0.45">
      <c r="A10" s="164" t="s">
        <v>638</v>
      </c>
      <c r="B10" s="177">
        <v>18.5</v>
      </c>
      <c r="C10" s="165" t="s">
        <v>630</v>
      </c>
    </row>
    <row r="11" spans="1:5" x14ac:dyDescent="0.45">
      <c r="A11" s="164" t="s">
        <v>639</v>
      </c>
      <c r="B11" s="177">
        <v>18.5</v>
      </c>
      <c r="C11" s="165" t="s">
        <v>630</v>
      </c>
    </row>
    <row r="12" spans="1:5" x14ac:dyDescent="0.45">
      <c r="A12" s="164" t="s">
        <v>640</v>
      </c>
      <c r="B12" s="177">
        <v>18.5</v>
      </c>
      <c r="C12" s="165" t="s">
        <v>630</v>
      </c>
    </row>
    <row r="13" spans="1:5" x14ac:dyDescent="0.45">
      <c r="A13" s="164" t="s">
        <v>641</v>
      </c>
      <c r="B13" s="177">
        <v>18.5</v>
      </c>
      <c r="C13" s="165" t="s">
        <v>630</v>
      </c>
    </row>
    <row r="14" spans="1:5" x14ac:dyDescent="0.45">
      <c r="A14" s="164" t="s">
        <v>642</v>
      </c>
      <c r="B14" s="177">
        <v>25</v>
      </c>
      <c r="C14" s="165" t="s">
        <v>630</v>
      </c>
    </row>
    <row r="15" spans="1:5" x14ac:dyDescent="0.45">
      <c r="A15" s="164" t="s">
        <v>643</v>
      </c>
      <c r="B15" s="177">
        <v>25</v>
      </c>
      <c r="C15" s="165" t="s">
        <v>630</v>
      </c>
    </row>
    <row r="16" spans="1:5" x14ac:dyDescent="0.45">
      <c r="A16" s="164" t="s">
        <v>644</v>
      </c>
      <c r="B16" s="177">
        <v>18.5</v>
      </c>
      <c r="C16" s="165" t="s">
        <v>630</v>
      </c>
    </row>
    <row r="17" spans="1:3" x14ac:dyDescent="0.45">
      <c r="A17" s="164" t="s">
        <v>645</v>
      </c>
      <c r="B17" s="177">
        <v>18.5</v>
      </c>
      <c r="C17" s="165" t="s">
        <v>630</v>
      </c>
    </row>
    <row r="18" spans="1:3" x14ac:dyDescent="0.45">
      <c r="A18" s="164" t="s">
        <v>646</v>
      </c>
      <c r="B18" s="165" t="s">
        <v>647</v>
      </c>
      <c r="C18" s="165" t="s">
        <v>630</v>
      </c>
    </row>
    <row r="19" spans="1:3" x14ac:dyDescent="0.45">
      <c r="A19" s="164" t="s">
        <v>648</v>
      </c>
      <c r="B19" s="165" t="s">
        <v>1201</v>
      </c>
      <c r="C19" s="165" t="s">
        <v>630</v>
      </c>
    </row>
    <row r="20" spans="1:3" x14ac:dyDescent="0.45">
      <c r="A20" s="164" t="s">
        <v>649</v>
      </c>
      <c r="B20" s="165" t="s">
        <v>1201</v>
      </c>
      <c r="C20" s="165" t="s">
        <v>630</v>
      </c>
    </row>
    <row r="21" spans="1:3" x14ac:dyDescent="0.45">
      <c r="A21" s="164" t="s">
        <v>650</v>
      </c>
      <c r="B21" s="165" t="s">
        <v>1202</v>
      </c>
      <c r="C21" s="165" t="s">
        <v>630</v>
      </c>
    </row>
    <row r="22" spans="1:3" x14ac:dyDescent="0.45">
      <c r="A22" s="164" t="s">
        <v>651</v>
      </c>
      <c r="B22" s="177">
        <v>22</v>
      </c>
      <c r="C22" s="165" t="s">
        <v>630</v>
      </c>
    </row>
    <row r="23" spans="1:3" x14ac:dyDescent="0.45">
      <c r="A23" s="164" t="s">
        <v>652</v>
      </c>
      <c r="B23" s="177">
        <v>22</v>
      </c>
      <c r="C23" s="165" t="s">
        <v>630</v>
      </c>
    </row>
    <row r="24" spans="1:3" x14ac:dyDescent="0.45">
      <c r="A24" s="164" t="s">
        <v>653</v>
      </c>
      <c r="B24" s="165" t="s">
        <v>654</v>
      </c>
      <c r="C24" s="165" t="s">
        <v>630</v>
      </c>
    </row>
    <row r="25" spans="1:3" x14ac:dyDescent="0.45">
      <c r="A25" s="164" t="s">
        <v>655</v>
      </c>
      <c r="B25" s="166" t="s">
        <v>654</v>
      </c>
      <c r="C25" s="166" t="s">
        <v>630</v>
      </c>
    </row>
    <row r="26" spans="1:3" x14ac:dyDescent="0.45">
      <c r="A26" s="164" t="s">
        <v>656</v>
      </c>
      <c r="B26" s="165" t="s">
        <v>1201</v>
      </c>
      <c r="C26" s="165" t="s">
        <v>630</v>
      </c>
    </row>
    <row r="27" spans="1:3" x14ac:dyDescent="0.45">
      <c r="A27" s="164" t="s">
        <v>657</v>
      </c>
      <c r="B27" s="177">
        <v>25</v>
      </c>
      <c r="C27" s="165" t="s">
        <v>630</v>
      </c>
    </row>
    <row r="28" spans="1:3" x14ac:dyDescent="0.45">
      <c r="A28" s="164" t="s">
        <v>658</v>
      </c>
      <c r="B28" s="177">
        <v>25</v>
      </c>
      <c r="C28" s="165" t="s">
        <v>630</v>
      </c>
    </row>
    <row r="29" spans="1:3" x14ac:dyDescent="0.45">
      <c r="A29" s="164" t="s">
        <v>659</v>
      </c>
      <c r="B29" s="177">
        <v>25</v>
      </c>
      <c r="C29" s="165" t="s">
        <v>630</v>
      </c>
    </row>
    <row r="30" spans="1:3" x14ac:dyDescent="0.45">
      <c r="A30" s="164" t="s">
        <v>660</v>
      </c>
      <c r="B30" s="165" t="s">
        <v>1201</v>
      </c>
      <c r="C30" s="165" t="s">
        <v>630</v>
      </c>
    </row>
    <row r="31" spans="1:3" x14ac:dyDescent="0.45">
      <c r="A31" s="164" t="s">
        <v>661</v>
      </c>
      <c r="B31" s="177">
        <v>25</v>
      </c>
      <c r="C31" s="165" t="s">
        <v>630</v>
      </c>
    </row>
    <row r="32" spans="1:3" x14ac:dyDescent="0.45">
      <c r="A32" s="164" t="s">
        <v>662</v>
      </c>
      <c r="B32" s="177">
        <v>25</v>
      </c>
      <c r="C32" s="165" t="s">
        <v>630</v>
      </c>
    </row>
    <row r="33" spans="1:3" x14ac:dyDescent="0.45">
      <c r="A33" s="164" t="s">
        <v>663</v>
      </c>
      <c r="B33" s="177">
        <v>25</v>
      </c>
      <c r="C33" s="165" t="s">
        <v>630</v>
      </c>
    </row>
    <row r="34" spans="1:3" x14ac:dyDescent="0.45">
      <c r="A34" s="164" t="s">
        <v>664</v>
      </c>
      <c r="B34" s="165" t="s">
        <v>665</v>
      </c>
      <c r="C34" s="165" t="s">
        <v>630</v>
      </c>
    </row>
    <row r="35" spans="1:3" x14ac:dyDescent="0.45">
      <c r="A35" s="164" t="s">
        <v>666</v>
      </c>
      <c r="B35" s="165" t="s">
        <v>667</v>
      </c>
      <c r="C35" s="165" t="s">
        <v>630</v>
      </c>
    </row>
    <row r="36" spans="1:3" x14ac:dyDescent="0.45">
      <c r="A36" s="164" t="s">
        <v>668</v>
      </c>
      <c r="B36" s="308" t="s">
        <v>630</v>
      </c>
      <c r="C36" s="308" t="s">
        <v>630</v>
      </c>
    </row>
    <row r="37" spans="1:3" x14ac:dyDescent="0.45">
      <c r="A37" s="163" t="s">
        <v>669</v>
      </c>
      <c r="B37" s="169">
        <v>15</v>
      </c>
      <c r="C37" s="168" t="s">
        <v>630</v>
      </c>
    </row>
    <row r="38" spans="1:3" x14ac:dyDescent="0.45">
      <c r="A38" s="163" t="s">
        <v>670</v>
      </c>
      <c r="B38" s="169">
        <v>22</v>
      </c>
      <c r="C38" s="169" t="s">
        <v>630</v>
      </c>
    </row>
    <row r="39" spans="1:3" x14ac:dyDescent="0.45">
      <c r="A39" s="163" t="s">
        <v>671</v>
      </c>
      <c r="B39" s="169">
        <v>45</v>
      </c>
      <c r="C39" s="169" t="s">
        <v>630</v>
      </c>
    </row>
    <row r="40" spans="1:3" x14ac:dyDescent="0.45">
      <c r="A40" s="163" t="s">
        <v>672</v>
      </c>
      <c r="B40" s="169">
        <v>70</v>
      </c>
      <c r="C40" s="169" t="s">
        <v>630</v>
      </c>
    </row>
    <row r="41" spans="1:3" x14ac:dyDescent="0.45">
      <c r="A41" s="163" t="s">
        <v>673</v>
      </c>
      <c r="B41" s="169">
        <v>25</v>
      </c>
      <c r="C41" s="169" t="s">
        <v>630</v>
      </c>
    </row>
    <row r="42" spans="1:3" x14ac:dyDescent="0.45">
      <c r="A42" s="163" t="s">
        <v>674</v>
      </c>
      <c r="B42" s="169">
        <v>70</v>
      </c>
      <c r="C42" s="169" t="s">
        <v>630</v>
      </c>
    </row>
    <row r="43" spans="1:3" x14ac:dyDescent="0.45">
      <c r="A43" s="163" t="s">
        <v>675</v>
      </c>
      <c r="B43" s="169">
        <v>25</v>
      </c>
      <c r="C43" s="169" t="s">
        <v>630</v>
      </c>
    </row>
    <row r="44" spans="1:3" x14ac:dyDescent="0.45">
      <c r="A44" s="163" t="s">
        <v>676</v>
      </c>
      <c r="B44" s="169">
        <v>25</v>
      </c>
      <c r="C44" s="169" t="s">
        <v>630</v>
      </c>
    </row>
    <row r="45" spans="1:3" x14ac:dyDescent="0.45">
      <c r="A45" s="163" t="s">
        <v>677</v>
      </c>
      <c r="B45" s="169">
        <v>25</v>
      </c>
      <c r="C45" s="169" t="s">
        <v>630</v>
      </c>
    </row>
    <row r="46" spans="1:3" x14ac:dyDescent="0.45">
      <c r="A46" s="163" t="s">
        <v>678</v>
      </c>
      <c r="B46" s="169">
        <v>70</v>
      </c>
      <c r="C46" s="169" t="s">
        <v>630</v>
      </c>
    </row>
    <row r="47" spans="1:3" x14ac:dyDescent="0.45">
      <c r="A47" s="163" t="s">
        <v>679</v>
      </c>
      <c r="B47" s="169">
        <v>25</v>
      </c>
      <c r="C47" s="169" t="s">
        <v>630</v>
      </c>
    </row>
    <row r="48" spans="1:3" x14ac:dyDescent="0.45">
      <c r="A48" s="163" t="s">
        <v>680</v>
      </c>
      <c r="B48" s="169">
        <v>25</v>
      </c>
      <c r="C48" s="169" t="s">
        <v>630</v>
      </c>
    </row>
    <row r="49" spans="1:3" x14ac:dyDescent="0.45">
      <c r="A49" s="163" t="s">
        <v>681</v>
      </c>
      <c r="B49" s="169">
        <v>43</v>
      </c>
      <c r="C49" s="169" t="s">
        <v>630</v>
      </c>
    </row>
    <row r="50" spans="1:3" x14ac:dyDescent="0.45">
      <c r="A50" s="163" t="s">
        <v>682</v>
      </c>
      <c r="B50" s="169">
        <v>46</v>
      </c>
      <c r="C50" s="169" t="s">
        <v>630</v>
      </c>
    </row>
    <row r="51" spans="1:3" x14ac:dyDescent="0.45">
      <c r="A51" s="163" t="s">
        <v>683</v>
      </c>
      <c r="B51" s="169">
        <v>22</v>
      </c>
      <c r="C51" s="169" t="s">
        <v>630</v>
      </c>
    </row>
    <row r="52" spans="1:3" x14ac:dyDescent="0.45">
      <c r="A52" s="163" t="s">
        <v>684</v>
      </c>
      <c r="B52" s="169">
        <v>25</v>
      </c>
      <c r="C52" s="169" t="s">
        <v>630</v>
      </c>
    </row>
    <row r="53" spans="1:3" x14ac:dyDescent="0.45">
      <c r="A53" s="163" t="s">
        <v>685</v>
      </c>
      <c r="B53" s="169">
        <v>25</v>
      </c>
      <c r="C53" s="169" t="s">
        <v>630</v>
      </c>
    </row>
    <row r="54" spans="1:3" x14ac:dyDescent="0.45">
      <c r="A54" s="163" t="s">
        <v>686</v>
      </c>
      <c r="B54" s="169">
        <v>25</v>
      </c>
      <c r="C54" s="169" t="s">
        <v>630</v>
      </c>
    </row>
    <row r="55" spans="1:3" x14ac:dyDescent="0.45">
      <c r="A55" s="163" t="s">
        <v>687</v>
      </c>
      <c r="B55" s="169">
        <v>46</v>
      </c>
      <c r="C55" s="169" t="s">
        <v>630</v>
      </c>
    </row>
    <row r="56" spans="1:3" x14ac:dyDescent="0.45">
      <c r="A56" s="163" t="s">
        <v>688</v>
      </c>
      <c r="B56" s="169">
        <v>46</v>
      </c>
      <c r="C56" s="169" t="s">
        <v>630</v>
      </c>
    </row>
    <row r="57" spans="1:3" x14ac:dyDescent="0.45">
      <c r="A57" s="163" t="s">
        <v>689</v>
      </c>
      <c r="B57" s="169">
        <v>25</v>
      </c>
      <c r="C57" s="169" t="s">
        <v>630</v>
      </c>
    </row>
    <row r="58" spans="1:3" x14ac:dyDescent="0.45">
      <c r="A58" s="163" t="s">
        <v>690</v>
      </c>
      <c r="B58" s="168" t="s">
        <v>692</v>
      </c>
      <c r="C58" s="168" t="s">
        <v>630</v>
      </c>
    </row>
    <row r="59" spans="1:3" x14ac:dyDescent="0.45">
      <c r="A59" s="163" t="s">
        <v>691</v>
      </c>
      <c r="B59" s="168" t="s">
        <v>692</v>
      </c>
      <c r="C59" s="168" t="s">
        <v>630</v>
      </c>
    </row>
    <row r="60" spans="1:3" x14ac:dyDescent="0.45">
      <c r="A60" s="163" t="s">
        <v>693</v>
      </c>
      <c r="B60" s="168" t="s">
        <v>692</v>
      </c>
      <c r="C60" s="168" t="s">
        <v>630</v>
      </c>
    </row>
    <row r="61" spans="1:3" x14ac:dyDescent="0.45">
      <c r="A61" s="163" t="s">
        <v>694</v>
      </c>
      <c r="B61" s="168" t="s">
        <v>692</v>
      </c>
      <c r="C61" s="168" t="s">
        <v>630</v>
      </c>
    </row>
    <row r="62" spans="1:3" x14ac:dyDescent="0.45">
      <c r="A62" s="163" t="s">
        <v>695</v>
      </c>
      <c r="B62" s="168" t="s">
        <v>1207</v>
      </c>
      <c r="C62" s="168" t="s">
        <v>630</v>
      </c>
    </row>
    <row r="63" spans="1:3" x14ac:dyDescent="0.45">
      <c r="A63" s="163" t="s">
        <v>696</v>
      </c>
      <c r="B63" s="168" t="s">
        <v>692</v>
      </c>
      <c r="C63" s="168" t="s">
        <v>630</v>
      </c>
    </row>
    <row r="64" spans="1:3" x14ac:dyDescent="0.45">
      <c r="A64" s="163" t="s">
        <v>697</v>
      </c>
      <c r="B64" s="168" t="s">
        <v>692</v>
      </c>
      <c r="C64" s="168" t="s">
        <v>630</v>
      </c>
    </row>
    <row r="65" spans="1:3" x14ac:dyDescent="0.45">
      <c r="A65" s="163" t="s">
        <v>698</v>
      </c>
      <c r="B65" s="168" t="s">
        <v>692</v>
      </c>
      <c r="C65" s="168" t="s">
        <v>630</v>
      </c>
    </row>
    <row r="66" spans="1:3" x14ac:dyDescent="0.45">
      <c r="A66" s="163" t="s">
        <v>699</v>
      </c>
      <c r="B66" s="168" t="s">
        <v>692</v>
      </c>
      <c r="C66" s="168" t="s">
        <v>630</v>
      </c>
    </row>
    <row r="67" spans="1:3" x14ac:dyDescent="0.45">
      <c r="A67" s="163" t="s">
        <v>700</v>
      </c>
      <c r="B67" s="169">
        <v>22.5</v>
      </c>
      <c r="C67" s="168" t="s">
        <v>630</v>
      </c>
    </row>
    <row r="68" spans="1:3" x14ac:dyDescent="0.45">
      <c r="A68" s="163" t="s">
        <v>701</v>
      </c>
      <c r="B68" s="169">
        <v>37</v>
      </c>
      <c r="C68" s="168" t="s">
        <v>630</v>
      </c>
    </row>
    <row r="69" spans="1:3" x14ac:dyDescent="0.45">
      <c r="A69" s="163" t="s">
        <v>702</v>
      </c>
      <c r="B69" s="169">
        <v>37</v>
      </c>
      <c r="C69" s="168" t="s">
        <v>630</v>
      </c>
    </row>
    <row r="70" spans="1:3" x14ac:dyDescent="0.45">
      <c r="A70" s="175" t="s">
        <v>703</v>
      </c>
      <c r="B70" s="170" t="s">
        <v>647</v>
      </c>
      <c r="C70" s="170" t="s">
        <v>630</v>
      </c>
    </row>
    <row r="71" spans="1:3" x14ac:dyDescent="0.45">
      <c r="A71" s="175" t="s">
        <v>704</v>
      </c>
      <c r="B71" s="170" t="s">
        <v>1208</v>
      </c>
      <c r="C71" s="170" t="s">
        <v>630</v>
      </c>
    </row>
    <row r="72" spans="1:3" x14ac:dyDescent="0.45">
      <c r="A72" s="175" t="s">
        <v>705</v>
      </c>
      <c r="B72" s="170" t="s">
        <v>1208</v>
      </c>
      <c r="C72" s="170" t="s">
        <v>630</v>
      </c>
    </row>
    <row r="73" spans="1:3" x14ac:dyDescent="0.45">
      <c r="A73" s="176" t="s">
        <v>706</v>
      </c>
      <c r="B73" s="178">
        <v>7.5</v>
      </c>
      <c r="C73" s="171" t="s">
        <v>630</v>
      </c>
    </row>
    <row r="74" spans="1:3" x14ac:dyDescent="0.45">
      <c r="A74" s="176" t="s">
        <v>707</v>
      </c>
      <c r="B74" s="178">
        <v>11</v>
      </c>
      <c r="C74" s="171" t="s">
        <v>630</v>
      </c>
    </row>
    <row r="75" spans="1:3" x14ac:dyDescent="0.45">
      <c r="A75" s="176" t="s">
        <v>708</v>
      </c>
      <c r="B75" s="178">
        <v>15</v>
      </c>
      <c r="C75" s="171" t="s">
        <v>630</v>
      </c>
    </row>
    <row r="76" spans="1:3" x14ac:dyDescent="0.45">
      <c r="A76" s="176" t="s">
        <v>709</v>
      </c>
      <c r="B76" s="178">
        <v>11</v>
      </c>
      <c r="C76" s="171" t="s">
        <v>630</v>
      </c>
    </row>
    <row r="77" spans="1:3" x14ac:dyDescent="0.45">
      <c r="A77" s="176" t="s">
        <v>710</v>
      </c>
      <c r="B77" s="178">
        <v>7.5</v>
      </c>
      <c r="C77" s="171" t="s">
        <v>630</v>
      </c>
    </row>
    <row r="78" spans="1:3" x14ac:dyDescent="0.45">
      <c r="A78" s="176" t="s">
        <v>711</v>
      </c>
      <c r="B78" s="178">
        <v>15</v>
      </c>
      <c r="C78" s="171" t="s">
        <v>630</v>
      </c>
    </row>
    <row r="79" spans="1:3" x14ac:dyDescent="0.45">
      <c r="A79" s="176" t="s">
        <v>712</v>
      </c>
      <c r="B79" s="180" t="s">
        <v>1204</v>
      </c>
      <c r="C79" s="171" t="s">
        <v>630</v>
      </c>
    </row>
    <row r="80" spans="1:3" x14ac:dyDescent="0.45">
      <c r="A80" s="176" t="s">
        <v>713</v>
      </c>
      <c r="B80" s="180" t="s">
        <v>1204</v>
      </c>
      <c r="C80" s="171" t="s">
        <v>630</v>
      </c>
    </row>
    <row r="81" spans="1:3" x14ac:dyDescent="0.45">
      <c r="A81" s="176" t="s">
        <v>714</v>
      </c>
      <c r="B81" s="180" t="s">
        <v>1204</v>
      </c>
      <c r="C81" s="171" t="s">
        <v>630</v>
      </c>
    </row>
    <row r="82" spans="1:3" x14ac:dyDescent="0.45">
      <c r="A82" s="176" t="s">
        <v>715</v>
      </c>
      <c r="B82" s="171" t="s">
        <v>654</v>
      </c>
      <c r="C82" s="171" t="s">
        <v>630</v>
      </c>
    </row>
    <row r="83" spans="1:3" x14ac:dyDescent="0.45">
      <c r="A83" s="176" t="s">
        <v>716</v>
      </c>
      <c r="B83" s="171" t="s">
        <v>1203</v>
      </c>
      <c r="C83" s="171" t="s">
        <v>630</v>
      </c>
    </row>
    <row r="84" spans="1:3" x14ac:dyDescent="0.45">
      <c r="A84" s="176" t="s">
        <v>717</v>
      </c>
      <c r="B84" s="171" t="s">
        <v>1203</v>
      </c>
      <c r="C84" s="171" t="s">
        <v>630</v>
      </c>
    </row>
    <row r="85" spans="1:3" x14ac:dyDescent="0.45">
      <c r="A85" s="176" t="s">
        <v>718</v>
      </c>
      <c r="B85" s="171" t="s">
        <v>1203</v>
      </c>
      <c r="C85" s="171" t="s">
        <v>630</v>
      </c>
    </row>
    <row r="86" spans="1:3" x14ac:dyDescent="0.45">
      <c r="A86" s="176" t="s">
        <v>719</v>
      </c>
      <c r="B86" s="171" t="s">
        <v>1203</v>
      </c>
      <c r="C86" s="171" t="s">
        <v>630</v>
      </c>
    </row>
    <row r="87" spans="1:3" x14ac:dyDescent="0.45">
      <c r="A87" s="176" t="s">
        <v>720</v>
      </c>
      <c r="B87" s="171" t="s">
        <v>1203</v>
      </c>
      <c r="C87" s="171" t="s">
        <v>630</v>
      </c>
    </row>
    <row r="88" spans="1:3" x14ac:dyDescent="0.45">
      <c r="A88" s="176" t="s">
        <v>721</v>
      </c>
      <c r="B88" s="179" t="s">
        <v>1202</v>
      </c>
      <c r="C88" s="171" t="s">
        <v>630</v>
      </c>
    </row>
    <row r="89" spans="1:3" x14ac:dyDescent="0.45">
      <c r="A89" s="176" t="s">
        <v>722</v>
      </c>
      <c r="B89" s="171" t="s">
        <v>1202</v>
      </c>
      <c r="C89" s="179" t="s">
        <v>1206</v>
      </c>
    </row>
    <row r="90" spans="1:3" x14ac:dyDescent="0.45">
      <c r="A90" s="176" t="s">
        <v>723</v>
      </c>
      <c r="B90" s="171" t="s">
        <v>665</v>
      </c>
      <c r="C90" s="171" t="s">
        <v>1205</v>
      </c>
    </row>
    <row r="91" spans="1:3" x14ac:dyDescent="0.45">
      <c r="A91" s="174" t="s">
        <v>650</v>
      </c>
      <c r="B91" s="172">
        <v>18.5</v>
      </c>
      <c r="C91" s="172" t="s">
        <v>630</v>
      </c>
    </row>
    <row r="92" spans="1:3" x14ac:dyDescent="0.45">
      <c r="A92" s="174" t="s">
        <v>724</v>
      </c>
      <c r="B92" s="173">
        <v>17</v>
      </c>
      <c r="C92" s="173" t="s">
        <v>630</v>
      </c>
    </row>
    <row r="93" spans="1:3" x14ac:dyDescent="0.45">
      <c r="A93" s="174" t="s">
        <v>672</v>
      </c>
      <c r="B93" s="173">
        <v>70</v>
      </c>
      <c r="C93" s="173" t="s">
        <v>630</v>
      </c>
    </row>
    <row r="94" spans="1:3" x14ac:dyDescent="0.45">
      <c r="A94" s="174" t="s">
        <v>725</v>
      </c>
      <c r="B94" s="173">
        <v>70</v>
      </c>
      <c r="C94" s="173" t="s">
        <v>630</v>
      </c>
    </row>
    <row r="95" spans="1:3" x14ac:dyDescent="0.45">
      <c r="A95" s="174" t="s">
        <v>678</v>
      </c>
      <c r="B95" s="173">
        <v>70</v>
      </c>
      <c r="C95" s="173" t="s">
        <v>630</v>
      </c>
    </row>
    <row r="96" spans="1:3" x14ac:dyDescent="0.45">
      <c r="A96" s="174" t="s">
        <v>681</v>
      </c>
      <c r="B96" s="173">
        <v>43</v>
      </c>
      <c r="C96" s="173" t="s">
        <v>630</v>
      </c>
    </row>
    <row r="97" spans="1:3" x14ac:dyDescent="0.45">
      <c r="A97" s="174" t="s">
        <v>682</v>
      </c>
      <c r="B97" s="173">
        <v>46</v>
      </c>
      <c r="C97" s="173" t="s">
        <v>630</v>
      </c>
    </row>
    <row r="98" spans="1:3" x14ac:dyDescent="0.45">
      <c r="A98" s="174" t="s">
        <v>687</v>
      </c>
      <c r="B98" s="173">
        <v>46</v>
      </c>
      <c r="C98" s="173" t="s">
        <v>630</v>
      </c>
    </row>
    <row r="99" spans="1:3" x14ac:dyDescent="0.45">
      <c r="A99" s="174" t="s">
        <v>688</v>
      </c>
      <c r="B99" s="173">
        <v>46</v>
      </c>
      <c r="C99" s="173" t="s">
        <v>630</v>
      </c>
    </row>
    <row r="100" spans="1:3" x14ac:dyDescent="0.45">
      <c r="A100" s="174" t="s">
        <v>726</v>
      </c>
      <c r="B100" s="172" t="s">
        <v>1201</v>
      </c>
      <c r="C100" s="172" t="s">
        <v>630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0F0A-7BF3-44E3-9D30-DF809E59ED17}">
  <dimension ref="A1:E18"/>
  <sheetViews>
    <sheetView workbookViewId="0">
      <selection activeCell="G8" sqref="G8:G9"/>
    </sheetView>
  </sheetViews>
  <sheetFormatPr defaultRowHeight="14.25" x14ac:dyDescent="0.45"/>
  <cols>
    <col min="1" max="1" width="15.53125" customWidth="1"/>
    <col min="2" max="2" width="19.1328125" customWidth="1"/>
    <col min="3" max="3" width="18.1328125" customWidth="1"/>
  </cols>
  <sheetData>
    <row r="1" spans="1:5" ht="42.75" x14ac:dyDescent="0.45">
      <c r="A1" s="162" t="s">
        <v>626</v>
      </c>
      <c r="B1" s="162" t="s">
        <v>1195</v>
      </c>
      <c r="C1" s="162" t="s">
        <v>752</v>
      </c>
      <c r="D1" s="162" t="s">
        <v>1196</v>
      </c>
      <c r="E1" s="162" t="s">
        <v>1197</v>
      </c>
    </row>
    <row r="2" spans="1:5" x14ac:dyDescent="0.45">
      <c r="A2" s="182" t="s">
        <v>727</v>
      </c>
      <c r="B2" s="308" t="s">
        <v>630</v>
      </c>
      <c r="C2" s="308" t="s">
        <v>630</v>
      </c>
      <c r="D2" s="183" t="s">
        <v>630</v>
      </c>
      <c r="E2" s="183" t="s">
        <v>630</v>
      </c>
    </row>
    <row r="3" spans="1:5" x14ac:dyDescent="0.45">
      <c r="A3" s="182" t="s">
        <v>728</v>
      </c>
      <c r="B3" s="183">
        <v>1.8</v>
      </c>
      <c r="C3" s="165" t="s">
        <v>630</v>
      </c>
      <c r="D3" s="183" t="s">
        <v>630</v>
      </c>
      <c r="E3" s="183" t="s">
        <v>630</v>
      </c>
    </row>
    <row r="4" spans="1:5" x14ac:dyDescent="0.45">
      <c r="A4" s="182" t="s">
        <v>729</v>
      </c>
      <c r="B4" s="165" t="s">
        <v>1198</v>
      </c>
      <c r="C4" s="165" t="s">
        <v>730</v>
      </c>
      <c r="D4" s="183" t="s">
        <v>630</v>
      </c>
      <c r="E4" s="183" t="s">
        <v>630</v>
      </c>
    </row>
    <row r="5" spans="1:5" x14ac:dyDescent="0.45">
      <c r="A5" s="182" t="s">
        <v>731</v>
      </c>
      <c r="B5" s="165" t="s">
        <v>1198</v>
      </c>
      <c r="C5" s="165" t="s">
        <v>730</v>
      </c>
      <c r="D5" s="183" t="s">
        <v>630</v>
      </c>
      <c r="E5" s="183" t="s">
        <v>630</v>
      </c>
    </row>
    <row r="6" spans="1:5" x14ac:dyDescent="0.45">
      <c r="A6" s="182" t="s">
        <v>732</v>
      </c>
      <c r="B6" s="308" t="s">
        <v>630</v>
      </c>
      <c r="C6" s="308" t="s">
        <v>630</v>
      </c>
      <c r="D6" s="183" t="s">
        <v>630</v>
      </c>
      <c r="E6" s="183" t="s">
        <v>630</v>
      </c>
    </row>
    <row r="7" spans="1:5" x14ac:dyDescent="0.45">
      <c r="A7" s="184" t="s">
        <v>733</v>
      </c>
      <c r="B7" s="168" t="s">
        <v>667</v>
      </c>
      <c r="C7" s="168" t="s">
        <v>630</v>
      </c>
      <c r="D7" s="188" t="s">
        <v>630</v>
      </c>
      <c r="E7" s="188" t="s">
        <v>630</v>
      </c>
    </row>
    <row r="8" spans="1:5" x14ac:dyDescent="0.45">
      <c r="A8" s="184" t="s">
        <v>734</v>
      </c>
      <c r="B8" s="168" t="s">
        <v>667</v>
      </c>
      <c r="C8" s="168" t="s">
        <v>630</v>
      </c>
      <c r="D8" s="188" t="s">
        <v>630</v>
      </c>
      <c r="E8" s="188" t="s">
        <v>630</v>
      </c>
    </row>
    <row r="9" spans="1:5" x14ac:dyDescent="0.45">
      <c r="A9" s="184" t="s">
        <v>735</v>
      </c>
      <c r="B9" s="168" t="s">
        <v>667</v>
      </c>
      <c r="C9" s="168" t="s">
        <v>630</v>
      </c>
      <c r="D9" s="188" t="s">
        <v>630</v>
      </c>
      <c r="E9" s="188" t="s">
        <v>630</v>
      </c>
    </row>
    <row r="10" spans="1:5" x14ac:dyDescent="0.45">
      <c r="A10" s="184" t="s">
        <v>736</v>
      </c>
      <c r="B10" s="168" t="s">
        <v>737</v>
      </c>
      <c r="C10" s="168" t="s">
        <v>630</v>
      </c>
      <c r="D10" s="188" t="s">
        <v>630</v>
      </c>
      <c r="E10" s="188" t="s">
        <v>630</v>
      </c>
    </row>
    <row r="11" spans="1:5" x14ac:dyDescent="0.45">
      <c r="A11" s="184" t="s">
        <v>738</v>
      </c>
      <c r="B11" s="168">
        <v>1.5</v>
      </c>
      <c r="C11" s="168" t="s">
        <v>630</v>
      </c>
      <c r="D11" s="188" t="s">
        <v>630</v>
      </c>
      <c r="E11" s="188" t="s">
        <v>630</v>
      </c>
    </row>
    <row r="12" spans="1:5" x14ac:dyDescent="0.45">
      <c r="A12" s="185" t="s">
        <v>739</v>
      </c>
      <c r="B12" s="170" t="s">
        <v>1199</v>
      </c>
      <c r="C12" s="170" t="s">
        <v>630</v>
      </c>
      <c r="D12" s="189" t="s">
        <v>630</v>
      </c>
      <c r="E12" s="189" t="s">
        <v>630</v>
      </c>
    </row>
    <row r="13" spans="1:5" x14ac:dyDescent="0.45">
      <c r="A13" s="185" t="s">
        <v>740</v>
      </c>
      <c r="B13" s="170" t="s">
        <v>667</v>
      </c>
      <c r="C13" s="170" t="s">
        <v>630</v>
      </c>
      <c r="D13" s="189" t="s">
        <v>630</v>
      </c>
      <c r="E13" s="189" t="s">
        <v>630</v>
      </c>
    </row>
    <row r="14" spans="1:5" x14ac:dyDescent="0.45">
      <c r="A14" s="185" t="s">
        <v>741</v>
      </c>
      <c r="B14" s="170" t="s">
        <v>1200</v>
      </c>
      <c r="C14" s="170" t="s">
        <v>630</v>
      </c>
      <c r="D14" s="189" t="s">
        <v>630</v>
      </c>
      <c r="E14" s="189" t="s">
        <v>630</v>
      </c>
    </row>
    <row r="15" spans="1:5" x14ac:dyDescent="0.45">
      <c r="A15" s="185" t="s">
        <v>742</v>
      </c>
      <c r="B15" s="309" t="s">
        <v>630</v>
      </c>
      <c r="C15" s="170" t="s">
        <v>630</v>
      </c>
      <c r="D15" s="189" t="s">
        <v>630</v>
      </c>
      <c r="E15" s="189" t="s">
        <v>630</v>
      </c>
    </row>
    <row r="16" spans="1:5" x14ac:dyDescent="0.45">
      <c r="A16" s="185" t="s">
        <v>743</v>
      </c>
      <c r="B16" s="309" t="s">
        <v>630</v>
      </c>
      <c r="C16" s="170" t="s">
        <v>630</v>
      </c>
      <c r="D16" s="189" t="s">
        <v>630</v>
      </c>
      <c r="E16" s="189" t="s">
        <v>630</v>
      </c>
    </row>
    <row r="17" spans="1:5" x14ac:dyDescent="0.45">
      <c r="A17" s="185" t="s">
        <v>744</v>
      </c>
      <c r="B17" s="309" t="s">
        <v>630</v>
      </c>
      <c r="C17" s="170" t="s">
        <v>630</v>
      </c>
      <c r="D17" s="189" t="s">
        <v>630</v>
      </c>
      <c r="E17" s="189" t="s">
        <v>630</v>
      </c>
    </row>
    <row r="18" spans="1:5" x14ac:dyDescent="0.45">
      <c r="A18" s="186" t="s">
        <v>745</v>
      </c>
      <c r="B18" s="187">
        <v>7.5</v>
      </c>
      <c r="C18" s="171" t="s">
        <v>630</v>
      </c>
      <c r="D18" s="187" t="s">
        <v>630</v>
      </c>
      <c r="E18" s="187" t="s">
        <v>630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F58C-42BB-4EE7-AAE5-3A78B5BC5F79}">
  <dimension ref="A1:E7"/>
  <sheetViews>
    <sheetView tabSelected="1" workbookViewId="0">
      <selection activeCell="D8" sqref="D8"/>
    </sheetView>
  </sheetViews>
  <sheetFormatPr defaultRowHeight="14.25" x14ac:dyDescent="0.45"/>
  <cols>
    <col min="1" max="1" width="26.3984375" bestFit="1" customWidth="1"/>
  </cols>
  <sheetData>
    <row r="1" spans="1:5" ht="42.75" x14ac:dyDescent="0.45">
      <c r="A1" s="162" t="s">
        <v>626</v>
      </c>
      <c r="B1" s="162" t="s">
        <v>751</v>
      </c>
      <c r="C1" s="162" t="s">
        <v>752</v>
      </c>
      <c r="D1" s="162" t="s">
        <v>746</v>
      </c>
      <c r="E1" s="162" t="s">
        <v>753</v>
      </c>
    </row>
    <row r="2" spans="1:5" x14ac:dyDescent="0.45">
      <c r="A2" s="310" t="s">
        <v>1209</v>
      </c>
      <c r="B2" s="311" t="s">
        <v>1210</v>
      </c>
    </row>
    <row r="3" spans="1:5" x14ac:dyDescent="0.45">
      <c r="A3" s="310" t="s">
        <v>1211</v>
      </c>
      <c r="B3" s="311" t="s">
        <v>1210</v>
      </c>
    </row>
    <row r="4" spans="1:5" x14ac:dyDescent="0.45">
      <c r="A4" s="310" t="s">
        <v>1212</v>
      </c>
      <c r="B4" s="311" t="s">
        <v>1210</v>
      </c>
    </row>
    <row r="5" spans="1:5" x14ac:dyDescent="0.45">
      <c r="A5" s="310" t="s">
        <v>1213</v>
      </c>
      <c r="B5" s="311" t="s">
        <v>1210</v>
      </c>
    </row>
    <row r="6" spans="1:5" x14ac:dyDescent="0.45">
      <c r="A6" s="310" t="s">
        <v>1214</v>
      </c>
      <c r="B6" s="311" t="s">
        <v>1210</v>
      </c>
    </row>
    <row r="7" spans="1:5" x14ac:dyDescent="0.45">
      <c r="A7" s="310" t="s">
        <v>1215</v>
      </c>
      <c r="B7" s="311" t="s">
        <v>1210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407A-E4C2-4651-A59D-6A61F758042C}">
  <dimension ref="A1:E277"/>
  <sheetViews>
    <sheetView topLeftCell="A39" workbookViewId="0">
      <selection activeCell="A6" sqref="A6"/>
    </sheetView>
  </sheetViews>
  <sheetFormatPr defaultRowHeight="14.25" x14ac:dyDescent="0.45"/>
  <cols>
    <col min="1" max="1" width="27.33203125" customWidth="1"/>
    <col min="2" max="2" width="16.53125" customWidth="1"/>
    <col min="3" max="3" width="15" customWidth="1"/>
    <col min="4" max="4" width="12.796875" customWidth="1"/>
    <col min="5" max="5" width="13.796875" customWidth="1"/>
  </cols>
  <sheetData>
    <row r="1" spans="1:5" ht="28.5" x14ac:dyDescent="0.45">
      <c r="A1" s="162" t="s">
        <v>626</v>
      </c>
      <c r="B1" s="162" t="s">
        <v>751</v>
      </c>
      <c r="C1" s="162" t="s">
        <v>752</v>
      </c>
      <c r="D1" s="162" t="s">
        <v>746</v>
      </c>
      <c r="E1" s="162" t="s">
        <v>753</v>
      </c>
    </row>
    <row r="2" spans="1:5" x14ac:dyDescent="0.45">
      <c r="A2" s="200" t="s">
        <v>754</v>
      </c>
      <c r="B2" s="201">
        <v>7.5</v>
      </c>
      <c r="C2" s="201">
        <v>11</v>
      </c>
      <c r="D2" s="201" t="s">
        <v>630</v>
      </c>
      <c r="E2" s="201" t="s">
        <v>630</v>
      </c>
    </row>
    <row r="3" spans="1:5" x14ac:dyDescent="0.45">
      <c r="A3" s="200" t="s">
        <v>755</v>
      </c>
      <c r="B3" s="201">
        <v>7.5</v>
      </c>
      <c r="C3" s="201">
        <v>11</v>
      </c>
      <c r="D3" s="201">
        <v>11</v>
      </c>
      <c r="E3" s="201" t="s">
        <v>630</v>
      </c>
    </row>
    <row r="4" spans="1:5" x14ac:dyDescent="0.45">
      <c r="A4" s="200" t="s">
        <v>756</v>
      </c>
      <c r="B4" s="201">
        <v>7.5</v>
      </c>
      <c r="C4" s="201">
        <v>11</v>
      </c>
      <c r="D4" s="201">
        <v>11</v>
      </c>
      <c r="E4" s="201" t="s">
        <v>630</v>
      </c>
    </row>
    <row r="5" spans="1:5" x14ac:dyDescent="0.45">
      <c r="A5" s="200" t="s">
        <v>757</v>
      </c>
      <c r="B5" s="201">
        <v>15</v>
      </c>
      <c r="C5" s="201">
        <v>15</v>
      </c>
      <c r="D5" s="201" t="s">
        <v>630</v>
      </c>
      <c r="E5" s="201" t="s">
        <v>630</v>
      </c>
    </row>
    <row r="6" spans="1:5" x14ac:dyDescent="0.45">
      <c r="A6" s="200" t="s">
        <v>758</v>
      </c>
      <c r="B6" s="201">
        <v>15</v>
      </c>
      <c r="C6" s="201">
        <v>15</v>
      </c>
      <c r="D6" s="201">
        <v>15</v>
      </c>
      <c r="E6" s="201" t="s">
        <v>630</v>
      </c>
    </row>
    <row r="7" spans="1:5" x14ac:dyDescent="0.45">
      <c r="A7" s="200" t="s">
        <v>759</v>
      </c>
      <c r="B7" s="201">
        <v>15</v>
      </c>
      <c r="C7" s="201">
        <v>15</v>
      </c>
      <c r="D7" s="201">
        <v>15</v>
      </c>
      <c r="E7" s="201" t="s">
        <v>630</v>
      </c>
    </row>
    <row r="8" spans="1:5" x14ac:dyDescent="0.45">
      <c r="A8" s="200" t="s">
        <v>760</v>
      </c>
      <c r="B8" s="201">
        <v>15</v>
      </c>
      <c r="C8" s="201">
        <v>22</v>
      </c>
      <c r="D8" s="201" t="s">
        <v>630</v>
      </c>
      <c r="E8" s="201" t="s">
        <v>630</v>
      </c>
    </row>
    <row r="9" spans="1:5" x14ac:dyDescent="0.45">
      <c r="A9" s="200" t="s">
        <v>761</v>
      </c>
      <c r="B9" s="201">
        <v>15</v>
      </c>
      <c r="C9" s="201">
        <v>22</v>
      </c>
      <c r="D9" s="201">
        <v>15</v>
      </c>
      <c r="E9" s="201" t="s">
        <v>630</v>
      </c>
    </row>
    <row r="10" spans="1:5" x14ac:dyDescent="0.45">
      <c r="A10" s="200" t="s">
        <v>762</v>
      </c>
      <c r="B10" s="201">
        <v>15</v>
      </c>
      <c r="C10" s="201">
        <v>22</v>
      </c>
      <c r="D10" s="201">
        <v>15</v>
      </c>
      <c r="E10" s="201" t="s">
        <v>630</v>
      </c>
    </row>
    <row r="11" spans="1:5" x14ac:dyDescent="0.45">
      <c r="A11" s="200" t="s">
        <v>763</v>
      </c>
      <c r="B11" s="201">
        <v>22</v>
      </c>
      <c r="C11" s="201">
        <v>22</v>
      </c>
      <c r="D11" s="201" t="s">
        <v>630</v>
      </c>
      <c r="E11" s="201" t="s">
        <v>630</v>
      </c>
    </row>
    <row r="12" spans="1:5" x14ac:dyDescent="0.45">
      <c r="A12" s="200" t="s">
        <v>764</v>
      </c>
      <c r="B12" s="201">
        <v>22</v>
      </c>
      <c r="C12" s="201">
        <v>22</v>
      </c>
      <c r="D12" s="201">
        <v>22</v>
      </c>
      <c r="E12" s="201" t="s">
        <v>630</v>
      </c>
    </row>
    <row r="13" spans="1:5" x14ac:dyDescent="0.45">
      <c r="A13" s="202" t="s">
        <v>765</v>
      </c>
      <c r="B13" s="201">
        <v>22</v>
      </c>
      <c r="C13" s="201">
        <v>22</v>
      </c>
      <c r="D13" s="201">
        <v>22</v>
      </c>
      <c r="E13" s="201" t="s">
        <v>630</v>
      </c>
    </row>
    <row r="14" spans="1:5" x14ac:dyDescent="0.45">
      <c r="A14" s="200" t="s">
        <v>766</v>
      </c>
      <c r="B14" s="201">
        <v>30</v>
      </c>
      <c r="C14" s="201">
        <v>22</v>
      </c>
      <c r="D14" s="201" t="s">
        <v>630</v>
      </c>
      <c r="E14" s="201" t="s">
        <v>630</v>
      </c>
    </row>
    <row r="15" spans="1:5" x14ac:dyDescent="0.45">
      <c r="A15" s="200" t="s">
        <v>767</v>
      </c>
      <c r="B15" s="201">
        <v>30</v>
      </c>
      <c r="C15" s="201">
        <v>22</v>
      </c>
      <c r="D15" s="201">
        <v>22</v>
      </c>
      <c r="E15" s="201" t="s">
        <v>630</v>
      </c>
    </row>
    <row r="16" spans="1:5" x14ac:dyDescent="0.45">
      <c r="A16" s="202" t="s">
        <v>768</v>
      </c>
      <c r="B16" s="201">
        <v>30</v>
      </c>
      <c r="C16" s="201">
        <v>22</v>
      </c>
      <c r="D16" s="201">
        <v>22</v>
      </c>
      <c r="E16" s="201" t="s">
        <v>630</v>
      </c>
    </row>
    <row r="17" spans="1:5" x14ac:dyDescent="0.45">
      <c r="A17" s="164" t="s">
        <v>769</v>
      </c>
      <c r="B17" s="194">
        <v>7.5</v>
      </c>
      <c r="C17" s="194">
        <v>11</v>
      </c>
      <c r="D17" s="194" t="s">
        <v>630</v>
      </c>
      <c r="E17" s="194" t="s">
        <v>630</v>
      </c>
    </row>
    <row r="18" spans="1:5" x14ac:dyDescent="0.45">
      <c r="A18" s="164" t="s">
        <v>770</v>
      </c>
      <c r="B18" s="194">
        <v>7.5</v>
      </c>
      <c r="C18" s="194">
        <v>11</v>
      </c>
      <c r="D18" s="194">
        <v>7.5</v>
      </c>
      <c r="E18" s="194" t="s">
        <v>630</v>
      </c>
    </row>
    <row r="19" spans="1:5" x14ac:dyDescent="0.45">
      <c r="A19" s="164" t="s">
        <v>771</v>
      </c>
      <c r="B19" s="194">
        <v>7.5</v>
      </c>
      <c r="C19" s="194">
        <v>11</v>
      </c>
      <c r="D19" s="194">
        <v>7.5</v>
      </c>
      <c r="E19" s="194" t="s">
        <v>630</v>
      </c>
    </row>
    <row r="20" spans="1:5" x14ac:dyDescent="0.45">
      <c r="A20" s="164" t="s">
        <v>772</v>
      </c>
      <c r="B20" s="194">
        <v>15</v>
      </c>
      <c r="C20" s="194">
        <v>11</v>
      </c>
      <c r="D20" s="194" t="s">
        <v>630</v>
      </c>
      <c r="E20" s="194" t="s">
        <v>630</v>
      </c>
    </row>
    <row r="21" spans="1:5" x14ac:dyDescent="0.45">
      <c r="A21" s="164" t="s">
        <v>773</v>
      </c>
      <c r="B21" s="194">
        <v>15</v>
      </c>
      <c r="C21" s="194">
        <v>11</v>
      </c>
      <c r="D21" s="194">
        <v>15</v>
      </c>
      <c r="E21" s="194" t="s">
        <v>630</v>
      </c>
    </row>
    <row r="22" spans="1:5" x14ac:dyDescent="0.45">
      <c r="A22" s="164" t="s">
        <v>774</v>
      </c>
      <c r="B22" s="194">
        <v>15</v>
      </c>
      <c r="C22" s="194">
        <v>11</v>
      </c>
      <c r="D22" s="194">
        <v>15</v>
      </c>
      <c r="E22" s="194" t="s">
        <v>630</v>
      </c>
    </row>
    <row r="23" spans="1:5" x14ac:dyDescent="0.45">
      <c r="A23" s="164" t="s">
        <v>775</v>
      </c>
      <c r="B23" s="194">
        <v>15</v>
      </c>
      <c r="C23" s="194">
        <v>22</v>
      </c>
      <c r="D23" s="194" t="s">
        <v>630</v>
      </c>
      <c r="E23" s="194" t="s">
        <v>630</v>
      </c>
    </row>
    <row r="24" spans="1:5" x14ac:dyDescent="0.45">
      <c r="A24" s="164" t="s">
        <v>776</v>
      </c>
      <c r="B24" s="194">
        <v>15</v>
      </c>
      <c r="C24" s="194">
        <v>22</v>
      </c>
      <c r="D24" s="194">
        <v>15</v>
      </c>
      <c r="E24" s="194" t="s">
        <v>630</v>
      </c>
    </row>
    <row r="25" spans="1:5" x14ac:dyDescent="0.45">
      <c r="A25" s="164" t="s">
        <v>777</v>
      </c>
      <c r="B25" s="194">
        <v>15</v>
      </c>
      <c r="C25" s="194">
        <v>22</v>
      </c>
      <c r="D25" s="194">
        <v>15</v>
      </c>
      <c r="E25" s="194" t="s">
        <v>630</v>
      </c>
    </row>
    <row r="26" spans="1:5" x14ac:dyDescent="0.45">
      <c r="A26" s="164" t="s">
        <v>778</v>
      </c>
      <c r="B26" s="194">
        <v>22</v>
      </c>
      <c r="C26" s="194">
        <v>22</v>
      </c>
      <c r="D26" s="194" t="s">
        <v>630</v>
      </c>
      <c r="E26" s="194" t="s">
        <v>630</v>
      </c>
    </row>
    <row r="27" spans="1:5" x14ac:dyDescent="0.45">
      <c r="A27" s="164" t="s">
        <v>779</v>
      </c>
      <c r="B27" s="194">
        <v>22</v>
      </c>
      <c r="C27" s="194">
        <v>22</v>
      </c>
      <c r="D27" s="194">
        <v>22</v>
      </c>
      <c r="E27" s="194" t="s">
        <v>630</v>
      </c>
    </row>
    <row r="28" spans="1:5" x14ac:dyDescent="0.45">
      <c r="A28" s="193" t="s">
        <v>780</v>
      </c>
      <c r="B28" s="194">
        <v>22</v>
      </c>
      <c r="C28" s="194">
        <v>22</v>
      </c>
      <c r="D28" s="194">
        <v>22</v>
      </c>
      <c r="E28" s="194" t="s">
        <v>630</v>
      </c>
    </row>
    <row r="29" spans="1:5" x14ac:dyDescent="0.45">
      <c r="A29" s="164" t="s">
        <v>781</v>
      </c>
      <c r="B29" s="194">
        <v>30</v>
      </c>
      <c r="C29" s="194">
        <v>22</v>
      </c>
      <c r="D29" s="194" t="s">
        <v>630</v>
      </c>
      <c r="E29" s="194" t="s">
        <v>630</v>
      </c>
    </row>
    <row r="30" spans="1:5" x14ac:dyDescent="0.45">
      <c r="A30" s="164" t="s">
        <v>782</v>
      </c>
      <c r="B30" s="194">
        <v>30</v>
      </c>
      <c r="C30" s="194">
        <v>22</v>
      </c>
      <c r="D30" s="194">
        <v>22</v>
      </c>
      <c r="E30" s="194" t="s">
        <v>630</v>
      </c>
    </row>
    <row r="31" spans="1:5" x14ac:dyDescent="0.45">
      <c r="A31" s="193" t="s">
        <v>783</v>
      </c>
      <c r="B31" s="194">
        <v>30</v>
      </c>
      <c r="C31" s="194">
        <v>22</v>
      </c>
      <c r="D31" s="194">
        <v>22</v>
      </c>
      <c r="E31" s="194" t="s">
        <v>630</v>
      </c>
    </row>
    <row r="32" spans="1:5" x14ac:dyDescent="0.45">
      <c r="A32" s="200" t="s">
        <v>784</v>
      </c>
      <c r="B32" s="201">
        <v>7.5</v>
      </c>
      <c r="C32" s="201" t="s">
        <v>630</v>
      </c>
      <c r="D32" s="201">
        <v>3</v>
      </c>
      <c r="E32" s="201" t="s">
        <v>630</v>
      </c>
    </row>
    <row r="33" spans="1:5" x14ac:dyDescent="0.45">
      <c r="A33" s="164" t="s">
        <v>785</v>
      </c>
      <c r="B33" s="194">
        <v>7.5</v>
      </c>
      <c r="C33" s="194" t="s">
        <v>630</v>
      </c>
      <c r="D33" s="194" t="s">
        <v>630</v>
      </c>
      <c r="E33" s="194" t="s">
        <v>630</v>
      </c>
    </row>
    <row r="34" spans="1:5" x14ac:dyDescent="0.45">
      <c r="A34" s="164" t="s">
        <v>786</v>
      </c>
      <c r="B34" s="194">
        <v>7.5</v>
      </c>
      <c r="C34" s="194">
        <v>5.5</v>
      </c>
      <c r="D34" s="194">
        <v>7.5</v>
      </c>
      <c r="E34" s="194" t="s">
        <v>630</v>
      </c>
    </row>
    <row r="35" spans="1:5" x14ac:dyDescent="0.45">
      <c r="A35" s="164" t="s">
        <v>787</v>
      </c>
      <c r="B35" s="194">
        <v>15</v>
      </c>
      <c r="C35" s="194">
        <v>15</v>
      </c>
      <c r="D35" s="194" t="s">
        <v>630</v>
      </c>
      <c r="E35" s="194" t="s">
        <v>630</v>
      </c>
    </row>
    <row r="36" spans="1:5" x14ac:dyDescent="0.45">
      <c r="A36" s="164" t="s">
        <v>788</v>
      </c>
      <c r="B36" s="194">
        <v>18.5</v>
      </c>
      <c r="C36" s="194">
        <v>15</v>
      </c>
      <c r="D36" s="194" t="s">
        <v>630</v>
      </c>
      <c r="E36" s="194" t="s">
        <v>630</v>
      </c>
    </row>
    <row r="37" spans="1:5" x14ac:dyDescent="0.45">
      <c r="A37" s="200" t="s">
        <v>789</v>
      </c>
      <c r="B37" s="201">
        <v>11</v>
      </c>
      <c r="C37" s="201">
        <v>5.5</v>
      </c>
      <c r="D37" s="201" t="s">
        <v>630</v>
      </c>
      <c r="E37" s="201" t="s">
        <v>630</v>
      </c>
    </row>
    <row r="38" spans="1:5" x14ac:dyDescent="0.45">
      <c r="A38" s="200" t="s">
        <v>790</v>
      </c>
      <c r="B38" s="201">
        <v>15</v>
      </c>
      <c r="C38" s="201">
        <v>15</v>
      </c>
      <c r="D38" s="201" t="s">
        <v>630</v>
      </c>
      <c r="E38" s="201" t="s">
        <v>630</v>
      </c>
    </row>
    <row r="39" spans="1:5" x14ac:dyDescent="0.45">
      <c r="A39" s="200" t="s">
        <v>791</v>
      </c>
      <c r="B39" s="201">
        <v>11</v>
      </c>
      <c r="C39" s="201">
        <v>5.5</v>
      </c>
      <c r="D39" s="201">
        <v>7.5</v>
      </c>
      <c r="E39" s="201" t="s">
        <v>630</v>
      </c>
    </row>
    <row r="40" spans="1:5" x14ac:dyDescent="0.45">
      <c r="A40" s="200" t="s">
        <v>792</v>
      </c>
      <c r="B40" s="201">
        <v>15</v>
      </c>
      <c r="C40" s="201">
        <v>15</v>
      </c>
      <c r="D40" s="201">
        <v>11</v>
      </c>
      <c r="E40" s="201" t="s">
        <v>630</v>
      </c>
    </row>
    <row r="41" spans="1:5" x14ac:dyDescent="0.45">
      <c r="A41" s="164" t="s">
        <v>793</v>
      </c>
      <c r="B41" s="194">
        <v>22</v>
      </c>
      <c r="C41" s="194">
        <v>22</v>
      </c>
      <c r="D41" s="194" t="s">
        <v>630</v>
      </c>
      <c r="E41" s="194" t="s">
        <v>630</v>
      </c>
    </row>
    <row r="42" spans="1:5" x14ac:dyDescent="0.45">
      <c r="A42" s="164" t="s">
        <v>794</v>
      </c>
      <c r="B42" s="194">
        <v>22</v>
      </c>
      <c r="C42" s="194">
        <v>22</v>
      </c>
      <c r="D42" s="194">
        <v>22</v>
      </c>
      <c r="E42" s="194" t="s">
        <v>630</v>
      </c>
    </row>
    <row r="43" spans="1:5" x14ac:dyDescent="0.45">
      <c r="A43" s="193" t="s">
        <v>795</v>
      </c>
      <c r="B43" s="194">
        <v>22</v>
      </c>
      <c r="C43" s="194">
        <v>22</v>
      </c>
      <c r="D43" s="194">
        <v>22</v>
      </c>
      <c r="E43" s="194" t="s">
        <v>630</v>
      </c>
    </row>
    <row r="44" spans="1:5" x14ac:dyDescent="0.45">
      <c r="A44" s="202" t="s">
        <v>796</v>
      </c>
      <c r="B44" s="201">
        <v>22</v>
      </c>
      <c r="C44" s="201">
        <v>30</v>
      </c>
      <c r="D44" s="201" t="s">
        <v>630</v>
      </c>
      <c r="E44" s="201" t="s">
        <v>630</v>
      </c>
    </row>
    <row r="45" spans="1:5" x14ac:dyDescent="0.45">
      <c r="A45" s="202" t="s">
        <v>797</v>
      </c>
      <c r="B45" s="201">
        <v>22</v>
      </c>
      <c r="C45" s="201">
        <v>30</v>
      </c>
      <c r="D45" s="201">
        <v>22</v>
      </c>
      <c r="E45" s="201" t="s">
        <v>630</v>
      </c>
    </row>
    <row r="46" spans="1:5" x14ac:dyDescent="0.45">
      <c r="A46" s="202" t="s">
        <v>798</v>
      </c>
      <c r="B46" s="201">
        <v>37</v>
      </c>
      <c r="C46" s="201">
        <v>30</v>
      </c>
      <c r="D46" s="201" t="s">
        <v>630</v>
      </c>
      <c r="E46" s="201" t="s">
        <v>630</v>
      </c>
    </row>
    <row r="47" spans="1:5" x14ac:dyDescent="0.45">
      <c r="A47" s="202" t="s">
        <v>799</v>
      </c>
      <c r="B47" s="201">
        <v>37</v>
      </c>
      <c r="C47" s="201">
        <v>30</v>
      </c>
      <c r="D47" s="201">
        <v>37</v>
      </c>
      <c r="E47" s="201" t="s">
        <v>630</v>
      </c>
    </row>
    <row r="48" spans="1:5" x14ac:dyDescent="0.45">
      <c r="A48" s="202" t="s">
        <v>800</v>
      </c>
      <c r="B48" s="201">
        <v>45</v>
      </c>
      <c r="C48" s="201">
        <v>30</v>
      </c>
      <c r="D48" s="201" t="s">
        <v>630</v>
      </c>
      <c r="E48" s="201" t="s">
        <v>630</v>
      </c>
    </row>
    <row r="49" spans="1:5" x14ac:dyDescent="0.45">
      <c r="A49" s="164" t="s">
        <v>801</v>
      </c>
      <c r="B49" s="194">
        <v>18.5</v>
      </c>
      <c r="C49" s="194">
        <v>18.5</v>
      </c>
      <c r="D49" s="194" t="s">
        <v>630</v>
      </c>
      <c r="E49" s="194" t="s">
        <v>630</v>
      </c>
    </row>
    <row r="50" spans="1:5" x14ac:dyDescent="0.45">
      <c r="A50" s="164" t="s">
        <v>802</v>
      </c>
      <c r="B50" s="194">
        <v>37</v>
      </c>
      <c r="C50" s="194">
        <v>30</v>
      </c>
      <c r="D50" s="194" t="s">
        <v>630</v>
      </c>
      <c r="E50" s="194" t="s">
        <v>630</v>
      </c>
    </row>
    <row r="51" spans="1:5" x14ac:dyDescent="0.45">
      <c r="A51" s="193" t="s">
        <v>803</v>
      </c>
      <c r="B51" s="194">
        <v>37</v>
      </c>
      <c r="C51" s="194">
        <v>30</v>
      </c>
      <c r="D51" s="194" t="s">
        <v>630</v>
      </c>
      <c r="E51" s="194" t="s">
        <v>630</v>
      </c>
    </row>
    <row r="52" spans="1:5" x14ac:dyDescent="0.45">
      <c r="A52" s="164" t="s">
        <v>804</v>
      </c>
      <c r="B52" s="194">
        <v>45</v>
      </c>
      <c r="C52" s="194">
        <v>30</v>
      </c>
      <c r="D52" s="194" t="s">
        <v>630</v>
      </c>
      <c r="E52" s="194" t="s">
        <v>630</v>
      </c>
    </row>
    <row r="53" spans="1:5" x14ac:dyDescent="0.45">
      <c r="A53" s="164" t="s">
        <v>805</v>
      </c>
      <c r="B53" s="194">
        <v>45</v>
      </c>
      <c r="C53" s="194">
        <v>30</v>
      </c>
      <c r="D53" s="194" t="s">
        <v>630</v>
      </c>
      <c r="E53" s="194" t="s">
        <v>630</v>
      </c>
    </row>
    <row r="54" spans="1:5" x14ac:dyDescent="0.45">
      <c r="A54" s="200" t="s">
        <v>806</v>
      </c>
      <c r="B54" s="201">
        <v>40</v>
      </c>
      <c r="C54" s="201">
        <v>30</v>
      </c>
      <c r="D54" s="201" t="s">
        <v>630</v>
      </c>
      <c r="E54" s="201" t="s">
        <v>630</v>
      </c>
    </row>
    <row r="55" spans="1:5" x14ac:dyDescent="0.45">
      <c r="A55" s="200" t="s">
        <v>807</v>
      </c>
      <c r="B55" s="201">
        <v>40</v>
      </c>
      <c r="C55" s="201">
        <v>30</v>
      </c>
      <c r="D55" s="201" t="s">
        <v>630</v>
      </c>
      <c r="E55" s="201" t="s">
        <v>630</v>
      </c>
    </row>
    <row r="56" spans="1:5" x14ac:dyDescent="0.45">
      <c r="A56" s="202" t="s">
        <v>808</v>
      </c>
      <c r="B56" s="201">
        <v>40</v>
      </c>
      <c r="C56" s="201">
        <v>30</v>
      </c>
      <c r="D56" s="201" t="s">
        <v>630</v>
      </c>
      <c r="E56" s="201" t="s">
        <v>630</v>
      </c>
    </row>
    <row r="57" spans="1:5" x14ac:dyDescent="0.45">
      <c r="A57" s="200" t="s">
        <v>809</v>
      </c>
      <c r="B57" s="201">
        <v>40</v>
      </c>
      <c r="C57" s="201">
        <v>30</v>
      </c>
      <c r="D57" s="201" t="s">
        <v>630</v>
      </c>
      <c r="E57" s="201" t="s">
        <v>630</v>
      </c>
    </row>
    <row r="58" spans="1:5" x14ac:dyDescent="0.45">
      <c r="A58" s="200" t="s">
        <v>810</v>
      </c>
      <c r="B58" s="201">
        <v>37</v>
      </c>
      <c r="C58" s="201">
        <v>30</v>
      </c>
      <c r="D58" s="201" t="s">
        <v>630</v>
      </c>
      <c r="E58" s="201" t="s">
        <v>630</v>
      </c>
    </row>
    <row r="59" spans="1:5" x14ac:dyDescent="0.45">
      <c r="A59" s="200" t="s">
        <v>811</v>
      </c>
      <c r="B59" s="201">
        <v>37</v>
      </c>
      <c r="C59" s="201">
        <v>30</v>
      </c>
      <c r="D59" s="201" t="s">
        <v>630</v>
      </c>
      <c r="E59" s="201" t="s">
        <v>630</v>
      </c>
    </row>
    <row r="60" spans="1:5" x14ac:dyDescent="0.45">
      <c r="A60" s="200" t="s">
        <v>812</v>
      </c>
      <c r="B60" s="201">
        <v>30</v>
      </c>
      <c r="C60" s="201">
        <v>30</v>
      </c>
      <c r="D60" s="201" t="s">
        <v>630</v>
      </c>
      <c r="E60" s="201" t="s">
        <v>630</v>
      </c>
    </row>
    <row r="61" spans="1:5" x14ac:dyDescent="0.45">
      <c r="A61" s="202" t="s">
        <v>813</v>
      </c>
      <c r="B61" s="201">
        <v>30</v>
      </c>
      <c r="C61" s="201">
        <v>30</v>
      </c>
      <c r="D61" s="201" t="s">
        <v>630</v>
      </c>
      <c r="E61" s="201" t="s">
        <v>630</v>
      </c>
    </row>
    <row r="62" spans="1:5" x14ac:dyDescent="0.45">
      <c r="A62" s="200" t="s">
        <v>814</v>
      </c>
      <c r="B62" s="201">
        <v>45</v>
      </c>
      <c r="C62" s="201">
        <v>30</v>
      </c>
      <c r="D62" s="201" t="s">
        <v>630</v>
      </c>
      <c r="E62" s="201" t="s">
        <v>630</v>
      </c>
    </row>
    <row r="63" spans="1:5" x14ac:dyDescent="0.45">
      <c r="A63" s="164" t="s">
        <v>815</v>
      </c>
      <c r="B63" s="194">
        <v>15</v>
      </c>
      <c r="C63" s="194">
        <v>22</v>
      </c>
      <c r="D63" s="194" t="s">
        <v>630</v>
      </c>
      <c r="E63" s="194" t="s">
        <v>630</v>
      </c>
    </row>
    <row r="64" spans="1:5" x14ac:dyDescent="0.45">
      <c r="A64" s="164" t="s">
        <v>816</v>
      </c>
      <c r="B64" s="194">
        <v>15</v>
      </c>
      <c r="C64" s="194">
        <v>22</v>
      </c>
      <c r="D64" s="194">
        <v>15</v>
      </c>
      <c r="E64" s="194" t="s">
        <v>630</v>
      </c>
    </row>
    <row r="65" spans="1:5" x14ac:dyDescent="0.45">
      <c r="A65" s="164" t="s">
        <v>817</v>
      </c>
      <c r="B65" s="194">
        <v>15</v>
      </c>
      <c r="C65" s="194">
        <v>22</v>
      </c>
      <c r="D65" s="194">
        <v>15</v>
      </c>
      <c r="E65" s="194" t="s">
        <v>630</v>
      </c>
    </row>
    <row r="66" spans="1:5" x14ac:dyDescent="0.45">
      <c r="A66" s="164" t="s">
        <v>818</v>
      </c>
      <c r="B66" s="194">
        <v>22</v>
      </c>
      <c r="C66" s="194">
        <v>22</v>
      </c>
      <c r="D66" s="194" t="s">
        <v>630</v>
      </c>
      <c r="E66" s="194" t="s">
        <v>630</v>
      </c>
    </row>
    <row r="67" spans="1:5" x14ac:dyDescent="0.45">
      <c r="A67" s="164" t="s">
        <v>819</v>
      </c>
      <c r="B67" s="194">
        <v>22</v>
      </c>
      <c r="C67" s="194">
        <v>22</v>
      </c>
      <c r="D67" s="194">
        <v>22</v>
      </c>
      <c r="E67" s="194" t="s">
        <v>630</v>
      </c>
    </row>
    <row r="68" spans="1:5" x14ac:dyDescent="0.45">
      <c r="A68" s="164" t="s">
        <v>820</v>
      </c>
      <c r="B68" s="194">
        <v>22</v>
      </c>
      <c r="C68" s="194">
        <v>22</v>
      </c>
      <c r="D68" s="194">
        <v>22</v>
      </c>
      <c r="E68" s="194" t="s">
        <v>630</v>
      </c>
    </row>
    <row r="69" spans="1:5" x14ac:dyDescent="0.45">
      <c r="A69" s="164" t="s">
        <v>821</v>
      </c>
      <c r="B69" s="194">
        <v>30</v>
      </c>
      <c r="C69" s="194">
        <v>22</v>
      </c>
      <c r="D69" s="194" t="s">
        <v>630</v>
      </c>
      <c r="E69" s="194" t="s">
        <v>630</v>
      </c>
    </row>
    <row r="70" spans="1:5" x14ac:dyDescent="0.45">
      <c r="A70" s="164" t="s">
        <v>822</v>
      </c>
      <c r="B70" s="194">
        <v>30</v>
      </c>
      <c r="C70" s="194">
        <v>22</v>
      </c>
      <c r="D70" s="194">
        <v>22</v>
      </c>
      <c r="E70" s="194" t="s">
        <v>630</v>
      </c>
    </row>
    <row r="71" spans="1:5" x14ac:dyDescent="0.45">
      <c r="A71" s="164" t="s">
        <v>823</v>
      </c>
      <c r="B71" s="194">
        <v>30</v>
      </c>
      <c r="C71" s="194">
        <v>22</v>
      </c>
      <c r="D71" s="194">
        <v>22</v>
      </c>
      <c r="E71" s="194" t="s">
        <v>630</v>
      </c>
    </row>
    <row r="72" spans="1:5" x14ac:dyDescent="0.45">
      <c r="A72" s="164" t="s">
        <v>824</v>
      </c>
      <c r="B72" s="194">
        <v>30</v>
      </c>
      <c r="C72" s="194">
        <v>27</v>
      </c>
      <c r="D72" s="194" t="s">
        <v>630</v>
      </c>
      <c r="E72" s="194" t="s">
        <v>630</v>
      </c>
    </row>
    <row r="73" spans="1:5" x14ac:dyDescent="0.45">
      <c r="A73" s="164" t="s">
        <v>825</v>
      </c>
      <c r="B73" s="194">
        <v>30</v>
      </c>
      <c r="C73" s="194">
        <v>27</v>
      </c>
      <c r="D73" s="194">
        <v>30</v>
      </c>
      <c r="E73" s="194" t="s">
        <v>630</v>
      </c>
    </row>
    <row r="74" spans="1:5" x14ac:dyDescent="0.45">
      <c r="A74" s="164" t="s">
        <v>826</v>
      </c>
      <c r="B74" s="194">
        <v>30</v>
      </c>
      <c r="C74" s="194">
        <v>27</v>
      </c>
      <c r="D74" s="194">
        <v>30</v>
      </c>
      <c r="E74" s="194" t="s">
        <v>630</v>
      </c>
    </row>
    <row r="75" spans="1:5" x14ac:dyDescent="0.45">
      <c r="A75" s="164" t="s">
        <v>827</v>
      </c>
      <c r="B75" s="194">
        <v>37</v>
      </c>
      <c r="C75" s="194">
        <v>30</v>
      </c>
      <c r="D75" s="194" t="s">
        <v>630</v>
      </c>
      <c r="E75" s="194" t="s">
        <v>630</v>
      </c>
    </row>
    <row r="76" spans="1:5" x14ac:dyDescent="0.45">
      <c r="A76" s="164" t="s">
        <v>828</v>
      </c>
      <c r="B76" s="194">
        <v>37</v>
      </c>
      <c r="C76" s="194">
        <v>30</v>
      </c>
      <c r="D76" s="194" t="s">
        <v>630</v>
      </c>
      <c r="E76" s="194" t="s">
        <v>630</v>
      </c>
    </row>
    <row r="77" spans="1:5" x14ac:dyDescent="0.45">
      <c r="A77" s="164" t="s">
        <v>829</v>
      </c>
      <c r="B77" s="194">
        <v>40</v>
      </c>
      <c r="C77" s="194">
        <v>30</v>
      </c>
      <c r="D77" s="194" t="s">
        <v>630</v>
      </c>
      <c r="E77" s="194" t="s">
        <v>630</v>
      </c>
    </row>
    <row r="78" spans="1:5" x14ac:dyDescent="0.45">
      <c r="A78" s="164" t="s">
        <v>830</v>
      </c>
      <c r="B78" s="194">
        <v>40</v>
      </c>
      <c r="C78" s="194">
        <v>30</v>
      </c>
      <c r="D78" s="194" t="s">
        <v>630</v>
      </c>
      <c r="E78" s="194" t="s">
        <v>630</v>
      </c>
    </row>
    <row r="79" spans="1:5" x14ac:dyDescent="0.45">
      <c r="A79" s="164" t="s">
        <v>831</v>
      </c>
      <c r="B79" s="194">
        <v>40</v>
      </c>
      <c r="C79" s="194">
        <v>30</v>
      </c>
      <c r="D79" s="194" t="s">
        <v>630</v>
      </c>
      <c r="E79" s="194" t="s">
        <v>630</v>
      </c>
    </row>
    <row r="80" spans="1:5" x14ac:dyDescent="0.45">
      <c r="A80" s="164" t="s">
        <v>832</v>
      </c>
      <c r="B80" s="194">
        <v>40</v>
      </c>
      <c r="C80" s="194">
        <v>30</v>
      </c>
      <c r="D80" s="194" t="s">
        <v>630</v>
      </c>
      <c r="E80" s="194" t="s">
        <v>630</v>
      </c>
    </row>
    <row r="81" spans="1:5" x14ac:dyDescent="0.45">
      <c r="A81" s="203" t="s">
        <v>833</v>
      </c>
      <c r="B81" s="204">
        <v>15</v>
      </c>
      <c r="C81" s="204" t="s">
        <v>630</v>
      </c>
      <c r="D81" s="204" t="s">
        <v>630</v>
      </c>
      <c r="E81" s="204" t="s">
        <v>630</v>
      </c>
    </row>
    <row r="82" spans="1:5" x14ac:dyDescent="0.45">
      <c r="A82" s="203" t="s">
        <v>834</v>
      </c>
      <c r="B82" s="204">
        <v>15</v>
      </c>
      <c r="C82" s="204" t="s">
        <v>630</v>
      </c>
      <c r="D82" s="204" t="s">
        <v>630</v>
      </c>
      <c r="E82" s="204" t="s">
        <v>630</v>
      </c>
    </row>
    <row r="83" spans="1:5" x14ac:dyDescent="0.45">
      <c r="A83" s="205" t="s">
        <v>835</v>
      </c>
      <c r="B83" s="204">
        <v>30</v>
      </c>
      <c r="C83" s="204" t="s">
        <v>630</v>
      </c>
      <c r="D83" s="204" t="s">
        <v>630</v>
      </c>
      <c r="E83" s="204" t="s">
        <v>630</v>
      </c>
    </row>
    <row r="84" spans="1:5" x14ac:dyDescent="0.45">
      <c r="A84" s="206" t="s">
        <v>836</v>
      </c>
      <c r="B84" s="207">
        <v>15</v>
      </c>
      <c r="C84" s="207" t="s">
        <v>630</v>
      </c>
      <c r="D84" s="207" t="s">
        <v>630</v>
      </c>
      <c r="E84" s="207" t="s">
        <v>630</v>
      </c>
    </row>
    <row r="85" spans="1:5" x14ac:dyDescent="0.45">
      <c r="A85" s="206" t="s">
        <v>837</v>
      </c>
      <c r="B85" s="207">
        <v>30</v>
      </c>
      <c r="C85" s="207" t="s">
        <v>630</v>
      </c>
      <c r="D85" s="207" t="s">
        <v>630</v>
      </c>
      <c r="E85" s="207" t="s">
        <v>630</v>
      </c>
    </row>
    <row r="86" spans="1:5" x14ac:dyDescent="0.45">
      <c r="A86" s="206" t="s">
        <v>838</v>
      </c>
      <c r="B86" s="207">
        <v>22</v>
      </c>
      <c r="C86" s="207" t="s">
        <v>630</v>
      </c>
      <c r="D86" s="207" t="s">
        <v>630</v>
      </c>
      <c r="E86" s="207" t="s">
        <v>630</v>
      </c>
    </row>
    <row r="87" spans="1:5" x14ac:dyDescent="0.45">
      <c r="A87" s="206" t="s">
        <v>839</v>
      </c>
      <c r="B87" s="207">
        <v>30</v>
      </c>
      <c r="C87" s="207" t="s">
        <v>630</v>
      </c>
      <c r="D87" s="207" t="s">
        <v>630</v>
      </c>
      <c r="E87" s="207" t="s">
        <v>630</v>
      </c>
    </row>
    <row r="88" spans="1:5" x14ac:dyDescent="0.45">
      <c r="A88" s="163" t="s">
        <v>840</v>
      </c>
      <c r="B88" s="195">
        <v>30</v>
      </c>
      <c r="C88" s="207" t="s">
        <v>630</v>
      </c>
      <c r="D88" s="207" t="s">
        <v>630</v>
      </c>
      <c r="E88" s="207" t="s">
        <v>630</v>
      </c>
    </row>
    <row r="89" spans="1:5" x14ac:dyDescent="0.45">
      <c r="A89" s="203" t="s">
        <v>841</v>
      </c>
      <c r="B89" s="204">
        <v>11</v>
      </c>
      <c r="C89" s="204" t="s">
        <v>630</v>
      </c>
      <c r="D89" s="204" t="s">
        <v>630</v>
      </c>
      <c r="E89" s="204" t="s">
        <v>630</v>
      </c>
    </row>
    <row r="90" spans="1:5" x14ac:dyDescent="0.45">
      <c r="A90" s="203" t="s">
        <v>842</v>
      </c>
      <c r="B90" s="204">
        <v>11</v>
      </c>
      <c r="C90" s="204" t="s">
        <v>630</v>
      </c>
      <c r="D90" s="204" t="s">
        <v>630</v>
      </c>
      <c r="E90" s="204" t="s">
        <v>630</v>
      </c>
    </row>
    <row r="91" spans="1:5" x14ac:dyDescent="0.45">
      <c r="A91" s="163" t="s">
        <v>843</v>
      </c>
      <c r="B91" s="195">
        <v>7.5</v>
      </c>
      <c r="C91" s="207" t="s">
        <v>630</v>
      </c>
      <c r="D91" s="207" t="s">
        <v>630</v>
      </c>
      <c r="E91" s="207" t="s">
        <v>630</v>
      </c>
    </row>
    <row r="92" spans="1:5" x14ac:dyDescent="0.45">
      <c r="A92" s="163" t="s">
        <v>844</v>
      </c>
      <c r="B92" s="195">
        <v>7.5</v>
      </c>
      <c r="C92" s="207" t="s">
        <v>630</v>
      </c>
      <c r="D92" s="207" t="s">
        <v>630</v>
      </c>
      <c r="E92" s="207" t="s">
        <v>630</v>
      </c>
    </row>
    <row r="93" spans="1:5" x14ac:dyDescent="0.45">
      <c r="A93" s="203" t="s">
        <v>747</v>
      </c>
      <c r="B93" s="204">
        <v>15</v>
      </c>
      <c r="C93" s="204" t="s">
        <v>630</v>
      </c>
      <c r="D93" s="204" t="s">
        <v>630</v>
      </c>
      <c r="E93" s="204" t="s">
        <v>630</v>
      </c>
    </row>
    <row r="94" spans="1:5" x14ac:dyDescent="0.45">
      <c r="A94" s="163" t="s">
        <v>845</v>
      </c>
      <c r="B94" s="195">
        <v>30</v>
      </c>
      <c r="C94" s="207" t="s">
        <v>630</v>
      </c>
      <c r="D94" s="207" t="s">
        <v>630</v>
      </c>
      <c r="E94" s="207" t="s">
        <v>630</v>
      </c>
    </row>
    <row r="95" spans="1:5" x14ac:dyDescent="0.45">
      <c r="A95" s="163" t="s">
        <v>846</v>
      </c>
      <c r="B95" s="195">
        <v>30</v>
      </c>
      <c r="C95" s="207" t="s">
        <v>630</v>
      </c>
      <c r="D95" s="207" t="s">
        <v>630</v>
      </c>
      <c r="E95" s="207" t="s">
        <v>630</v>
      </c>
    </row>
    <row r="96" spans="1:5" x14ac:dyDescent="0.45">
      <c r="A96" s="163" t="s">
        <v>847</v>
      </c>
      <c r="B96" s="195">
        <v>30</v>
      </c>
      <c r="C96" s="207" t="s">
        <v>630</v>
      </c>
      <c r="D96" s="207" t="s">
        <v>630</v>
      </c>
      <c r="E96" s="207" t="s">
        <v>630</v>
      </c>
    </row>
    <row r="97" spans="1:5" x14ac:dyDescent="0.45">
      <c r="A97" s="163" t="s">
        <v>848</v>
      </c>
      <c r="B97" s="195">
        <v>30</v>
      </c>
      <c r="C97" s="207" t="s">
        <v>630</v>
      </c>
      <c r="D97" s="207" t="s">
        <v>630</v>
      </c>
      <c r="E97" s="207" t="s">
        <v>630</v>
      </c>
    </row>
    <row r="98" spans="1:5" x14ac:dyDescent="0.45">
      <c r="A98" s="203" t="s">
        <v>849</v>
      </c>
      <c r="B98" s="204">
        <v>30</v>
      </c>
      <c r="C98" s="204" t="s">
        <v>630</v>
      </c>
      <c r="D98" s="204" t="s">
        <v>630</v>
      </c>
      <c r="E98" s="204" t="s">
        <v>630</v>
      </c>
    </row>
    <row r="99" spans="1:5" x14ac:dyDescent="0.45">
      <c r="A99" s="203" t="s">
        <v>850</v>
      </c>
      <c r="B99" s="204">
        <v>30</v>
      </c>
      <c r="C99" s="204" t="s">
        <v>630</v>
      </c>
      <c r="D99" s="204" t="s">
        <v>630</v>
      </c>
      <c r="E99" s="204" t="s">
        <v>630</v>
      </c>
    </row>
    <row r="100" spans="1:5" x14ac:dyDescent="0.45">
      <c r="A100" s="203" t="s">
        <v>851</v>
      </c>
      <c r="B100" s="204">
        <v>30</v>
      </c>
      <c r="C100" s="204" t="s">
        <v>630</v>
      </c>
      <c r="D100" s="204" t="s">
        <v>630</v>
      </c>
      <c r="E100" s="204" t="s">
        <v>630</v>
      </c>
    </row>
    <row r="101" spans="1:5" x14ac:dyDescent="0.45">
      <c r="A101" s="203" t="s">
        <v>852</v>
      </c>
      <c r="B101" s="204">
        <v>30</v>
      </c>
      <c r="C101" s="204" t="s">
        <v>630</v>
      </c>
      <c r="D101" s="204" t="s">
        <v>630</v>
      </c>
      <c r="E101" s="204" t="s">
        <v>630</v>
      </c>
    </row>
    <row r="102" spans="1:5" x14ac:dyDescent="0.45">
      <c r="A102" s="163" t="s">
        <v>853</v>
      </c>
      <c r="B102" s="195">
        <v>26</v>
      </c>
      <c r="C102" s="207" t="s">
        <v>630</v>
      </c>
      <c r="D102" s="207" t="s">
        <v>630</v>
      </c>
      <c r="E102" s="207" t="s">
        <v>630</v>
      </c>
    </row>
    <row r="103" spans="1:5" x14ac:dyDescent="0.45">
      <c r="A103" s="163" t="s">
        <v>854</v>
      </c>
      <c r="B103" s="195">
        <v>26</v>
      </c>
      <c r="C103" s="207" t="s">
        <v>630</v>
      </c>
      <c r="D103" s="207" t="s">
        <v>630</v>
      </c>
      <c r="E103" s="207" t="s">
        <v>630</v>
      </c>
    </row>
    <row r="104" spans="1:5" x14ac:dyDescent="0.45">
      <c r="A104" s="203" t="s">
        <v>855</v>
      </c>
      <c r="B104" s="204">
        <v>30</v>
      </c>
      <c r="C104" s="204" t="s">
        <v>630</v>
      </c>
      <c r="D104" s="204" t="s">
        <v>630</v>
      </c>
      <c r="E104" s="204" t="s">
        <v>630</v>
      </c>
    </row>
    <row r="105" spans="1:5" x14ac:dyDescent="0.45">
      <c r="A105" s="203" t="s">
        <v>856</v>
      </c>
      <c r="B105" s="204">
        <v>30</v>
      </c>
      <c r="C105" s="204" t="s">
        <v>630</v>
      </c>
      <c r="D105" s="204" t="s">
        <v>630</v>
      </c>
      <c r="E105" s="204" t="s">
        <v>630</v>
      </c>
    </row>
    <row r="106" spans="1:5" x14ac:dyDescent="0.45">
      <c r="A106" s="163" t="s">
        <v>857</v>
      </c>
      <c r="B106" s="195">
        <v>45</v>
      </c>
      <c r="C106" s="207" t="s">
        <v>630</v>
      </c>
      <c r="D106" s="207" t="s">
        <v>630</v>
      </c>
      <c r="E106" s="207" t="s">
        <v>630</v>
      </c>
    </row>
    <row r="107" spans="1:5" x14ac:dyDescent="0.45">
      <c r="A107" s="163" t="s">
        <v>858</v>
      </c>
      <c r="B107" s="195">
        <v>120</v>
      </c>
      <c r="C107" s="207" t="s">
        <v>630</v>
      </c>
      <c r="D107" s="207" t="s">
        <v>630</v>
      </c>
      <c r="E107" s="207" t="s">
        <v>630</v>
      </c>
    </row>
    <row r="108" spans="1:5" x14ac:dyDescent="0.45">
      <c r="A108" s="203" t="s">
        <v>859</v>
      </c>
      <c r="B108" s="204">
        <v>15</v>
      </c>
      <c r="C108" s="204" t="s">
        <v>630</v>
      </c>
      <c r="D108" s="204" t="s">
        <v>630</v>
      </c>
      <c r="E108" s="204" t="s">
        <v>630</v>
      </c>
    </row>
    <row r="109" spans="1:5" x14ac:dyDescent="0.45">
      <c r="A109" s="203" t="s">
        <v>860</v>
      </c>
      <c r="B109" s="204">
        <v>15</v>
      </c>
      <c r="C109" s="204" t="s">
        <v>630</v>
      </c>
      <c r="D109" s="204" t="s">
        <v>630</v>
      </c>
      <c r="E109" s="204" t="s">
        <v>630</v>
      </c>
    </row>
    <row r="110" spans="1:5" x14ac:dyDescent="0.45">
      <c r="A110" s="163" t="s">
        <v>861</v>
      </c>
      <c r="B110" s="195">
        <v>11</v>
      </c>
      <c r="C110" s="207" t="s">
        <v>630</v>
      </c>
      <c r="D110" s="207" t="s">
        <v>630</v>
      </c>
      <c r="E110" s="207" t="s">
        <v>630</v>
      </c>
    </row>
    <row r="111" spans="1:5" x14ac:dyDescent="0.45">
      <c r="A111" s="203" t="s">
        <v>862</v>
      </c>
      <c r="B111" s="204">
        <v>30</v>
      </c>
      <c r="C111" s="204" t="s">
        <v>630</v>
      </c>
      <c r="D111" s="204" t="s">
        <v>630</v>
      </c>
      <c r="E111" s="204" t="s">
        <v>630</v>
      </c>
    </row>
    <row r="112" spans="1:5" x14ac:dyDescent="0.45">
      <c r="A112" s="203" t="s">
        <v>863</v>
      </c>
      <c r="B112" s="204">
        <v>30</v>
      </c>
      <c r="C112" s="204" t="s">
        <v>630</v>
      </c>
      <c r="D112" s="204" t="s">
        <v>630</v>
      </c>
      <c r="E112" s="204" t="s">
        <v>630</v>
      </c>
    </row>
    <row r="113" spans="1:5" x14ac:dyDescent="0.45">
      <c r="A113" s="203" t="s">
        <v>864</v>
      </c>
      <c r="B113" s="204">
        <v>30</v>
      </c>
      <c r="C113" s="204" t="s">
        <v>630</v>
      </c>
      <c r="D113" s="204" t="s">
        <v>630</v>
      </c>
      <c r="E113" s="204" t="s">
        <v>630</v>
      </c>
    </row>
    <row r="114" spans="1:5" x14ac:dyDescent="0.45">
      <c r="A114" s="203" t="s">
        <v>865</v>
      </c>
      <c r="B114" s="204">
        <v>30</v>
      </c>
      <c r="C114" s="204" t="s">
        <v>630</v>
      </c>
      <c r="D114" s="204" t="s">
        <v>630</v>
      </c>
      <c r="E114" s="204" t="s">
        <v>630</v>
      </c>
    </row>
    <row r="115" spans="1:5" x14ac:dyDescent="0.45">
      <c r="A115" s="203" t="s">
        <v>866</v>
      </c>
      <c r="B115" s="204">
        <v>30</v>
      </c>
      <c r="C115" s="204" t="s">
        <v>630</v>
      </c>
      <c r="D115" s="204" t="s">
        <v>630</v>
      </c>
      <c r="E115" s="204" t="s">
        <v>630</v>
      </c>
    </row>
    <row r="116" spans="1:5" x14ac:dyDescent="0.45">
      <c r="A116" s="203" t="s">
        <v>867</v>
      </c>
      <c r="B116" s="204">
        <v>30</v>
      </c>
      <c r="C116" s="204" t="s">
        <v>630</v>
      </c>
      <c r="D116" s="204" t="s">
        <v>630</v>
      </c>
      <c r="E116" s="204" t="s">
        <v>630</v>
      </c>
    </row>
    <row r="117" spans="1:5" x14ac:dyDescent="0.45">
      <c r="A117" s="208" t="s">
        <v>868</v>
      </c>
      <c r="B117" s="209">
        <v>11</v>
      </c>
      <c r="C117" s="209" t="s">
        <v>630</v>
      </c>
      <c r="D117" s="209" t="s">
        <v>630</v>
      </c>
      <c r="E117" s="209" t="s">
        <v>630</v>
      </c>
    </row>
    <row r="118" spans="1:5" x14ac:dyDescent="0.45">
      <c r="A118" s="210" t="s">
        <v>869</v>
      </c>
      <c r="B118" s="209">
        <v>11</v>
      </c>
      <c r="C118" s="209" t="s">
        <v>630</v>
      </c>
      <c r="D118" s="209" t="s">
        <v>630</v>
      </c>
      <c r="E118" s="209" t="s">
        <v>630</v>
      </c>
    </row>
    <row r="119" spans="1:5" x14ac:dyDescent="0.45">
      <c r="A119" s="210" t="s">
        <v>870</v>
      </c>
      <c r="B119" s="209">
        <v>11</v>
      </c>
      <c r="C119" s="209" t="s">
        <v>630</v>
      </c>
      <c r="D119" s="209" t="s">
        <v>630</v>
      </c>
      <c r="E119" s="209" t="s">
        <v>630</v>
      </c>
    </row>
    <row r="120" spans="1:5" x14ac:dyDescent="0.45">
      <c r="A120" s="210" t="s">
        <v>871</v>
      </c>
      <c r="B120" s="209">
        <v>11</v>
      </c>
      <c r="C120" s="209" t="s">
        <v>630</v>
      </c>
      <c r="D120" s="209" t="s">
        <v>630</v>
      </c>
      <c r="E120" s="209" t="s">
        <v>630</v>
      </c>
    </row>
    <row r="121" spans="1:5" x14ac:dyDescent="0.45">
      <c r="A121" s="210" t="s">
        <v>872</v>
      </c>
      <c r="B121" s="209">
        <v>11</v>
      </c>
      <c r="C121" s="209" t="s">
        <v>630</v>
      </c>
      <c r="D121" s="209" t="s">
        <v>630</v>
      </c>
      <c r="E121" s="209" t="s">
        <v>630</v>
      </c>
    </row>
    <row r="122" spans="1:5" x14ac:dyDescent="0.45">
      <c r="A122" s="210" t="s">
        <v>873</v>
      </c>
      <c r="B122" s="209">
        <v>11</v>
      </c>
      <c r="C122" s="209" t="s">
        <v>630</v>
      </c>
      <c r="D122" s="209" t="s">
        <v>630</v>
      </c>
      <c r="E122" s="209" t="s">
        <v>630</v>
      </c>
    </row>
    <row r="123" spans="1:5" x14ac:dyDescent="0.45">
      <c r="A123" s="210" t="s">
        <v>874</v>
      </c>
      <c r="B123" s="209">
        <v>11</v>
      </c>
      <c r="C123" s="209" t="s">
        <v>630</v>
      </c>
      <c r="D123" s="209" t="s">
        <v>630</v>
      </c>
      <c r="E123" s="209" t="s">
        <v>630</v>
      </c>
    </row>
    <row r="124" spans="1:5" x14ac:dyDescent="0.45">
      <c r="A124" s="210" t="s">
        <v>875</v>
      </c>
      <c r="B124" s="209">
        <v>11</v>
      </c>
      <c r="C124" s="209" t="s">
        <v>630</v>
      </c>
      <c r="D124" s="209" t="s">
        <v>630</v>
      </c>
      <c r="E124" s="209" t="s">
        <v>630</v>
      </c>
    </row>
    <row r="125" spans="1:5" x14ac:dyDescent="0.45">
      <c r="A125" s="210" t="s">
        <v>876</v>
      </c>
      <c r="B125" s="209">
        <v>18.5</v>
      </c>
      <c r="C125" s="209" t="s">
        <v>630</v>
      </c>
      <c r="D125" s="209" t="s">
        <v>630</v>
      </c>
      <c r="E125" s="209" t="s">
        <v>630</v>
      </c>
    </row>
    <row r="126" spans="1:5" x14ac:dyDescent="0.45">
      <c r="A126" s="210" t="s">
        <v>877</v>
      </c>
      <c r="B126" s="209">
        <v>18.5</v>
      </c>
      <c r="C126" s="209" t="s">
        <v>630</v>
      </c>
      <c r="D126" s="209" t="s">
        <v>630</v>
      </c>
      <c r="E126" s="209" t="s">
        <v>630</v>
      </c>
    </row>
    <row r="127" spans="1:5" x14ac:dyDescent="0.45">
      <c r="A127" s="210" t="s">
        <v>878</v>
      </c>
      <c r="B127" s="209">
        <v>18.5</v>
      </c>
      <c r="C127" s="209" t="s">
        <v>630</v>
      </c>
      <c r="D127" s="209" t="s">
        <v>630</v>
      </c>
      <c r="E127" s="209" t="s">
        <v>630</v>
      </c>
    </row>
    <row r="128" spans="1:5" x14ac:dyDescent="0.45">
      <c r="A128" s="210" t="s">
        <v>879</v>
      </c>
      <c r="B128" s="209">
        <v>18.5</v>
      </c>
      <c r="C128" s="209" t="s">
        <v>630</v>
      </c>
      <c r="D128" s="209" t="s">
        <v>630</v>
      </c>
      <c r="E128" s="209" t="s">
        <v>630</v>
      </c>
    </row>
    <row r="129" spans="1:5" x14ac:dyDescent="0.45">
      <c r="A129" s="208" t="s">
        <v>880</v>
      </c>
      <c r="B129" s="209">
        <v>18.5</v>
      </c>
      <c r="C129" s="209" t="s">
        <v>630</v>
      </c>
      <c r="D129" s="209" t="s">
        <v>630</v>
      </c>
      <c r="E129" s="209" t="s">
        <v>630</v>
      </c>
    </row>
    <row r="130" spans="1:5" x14ac:dyDescent="0.45">
      <c r="A130" s="210" t="s">
        <v>881</v>
      </c>
      <c r="B130" s="209">
        <v>26</v>
      </c>
      <c r="C130" s="209" t="s">
        <v>630</v>
      </c>
      <c r="D130" s="209" t="s">
        <v>630</v>
      </c>
      <c r="E130" s="209" t="s">
        <v>630</v>
      </c>
    </row>
    <row r="131" spans="1:5" x14ac:dyDescent="0.45">
      <c r="A131" s="210" t="s">
        <v>882</v>
      </c>
      <c r="B131" s="209">
        <v>26</v>
      </c>
      <c r="C131" s="209" t="s">
        <v>630</v>
      </c>
      <c r="D131" s="209" t="s">
        <v>630</v>
      </c>
      <c r="E131" s="209" t="s">
        <v>630</v>
      </c>
    </row>
    <row r="132" spans="1:5" x14ac:dyDescent="0.45">
      <c r="A132" s="210" t="s">
        <v>883</v>
      </c>
      <c r="B132" s="209">
        <v>26</v>
      </c>
      <c r="C132" s="209" t="s">
        <v>630</v>
      </c>
      <c r="D132" s="209" t="s">
        <v>630</v>
      </c>
      <c r="E132" s="209" t="s">
        <v>630</v>
      </c>
    </row>
    <row r="133" spans="1:5" x14ac:dyDescent="0.45">
      <c r="A133" s="210" t="s">
        <v>884</v>
      </c>
      <c r="B133" s="209">
        <v>26</v>
      </c>
      <c r="C133" s="209" t="s">
        <v>630</v>
      </c>
      <c r="D133" s="209" t="s">
        <v>630</v>
      </c>
      <c r="E133" s="209" t="s">
        <v>630</v>
      </c>
    </row>
    <row r="134" spans="1:5" x14ac:dyDescent="0.45">
      <c r="A134" s="210" t="s">
        <v>885</v>
      </c>
      <c r="B134" s="209">
        <v>26</v>
      </c>
      <c r="C134" s="209" t="s">
        <v>630</v>
      </c>
      <c r="D134" s="209" t="s">
        <v>630</v>
      </c>
      <c r="E134" s="209" t="s">
        <v>630</v>
      </c>
    </row>
    <row r="135" spans="1:5" x14ac:dyDescent="0.45">
      <c r="A135" s="210" t="s">
        <v>886</v>
      </c>
      <c r="B135" s="209">
        <v>26</v>
      </c>
      <c r="C135" s="209" t="s">
        <v>630</v>
      </c>
      <c r="D135" s="209" t="s">
        <v>630</v>
      </c>
      <c r="E135" s="209" t="s">
        <v>630</v>
      </c>
    </row>
    <row r="136" spans="1:5" x14ac:dyDescent="0.45">
      <c r="A136" s="210" t="s">
        <v>887</v>
      </c>
      <c r="B136" s="209">
        <v>30</v>
      </c>
      <c r="C136" s="209" t="s">
        <v>630</v>
      </c>
      <c r="D136" s="209" t="s">
        <v>630</v>
      </c>
      <c r="E136" s="209" t="s">
        <v>630</v>
      </c>
    </row>
    <row r="137" spans="1:5" x14ac:dyDescent="0.45">
      <c r="A137" s="208" t="s">
        <v>888</v>
      </c>
      <c r="B137" s="209">
        <v>30</v>
      </c>
      <c r="C137" s="209" t="s">
        <v>630</v>
      </c>
      <c r="D137" s="209" t="s">
        <v>630</v>
      </c>
      <c r="E137" s="209" t="s">
        <v>630</v>
      </c>
    </row>
    <row r="138" spans="1:5" x14ac:dyDescent="0.45">
      <c r="A138" s="210" t="s">
        <v>889</v>
      </c>
      <c r="B138" s="209">
        <v>30</v>
      </c>
      <c r="C138" s="209" t="s">
        <v>630</v>
      </c>
      <c r="D138" s="209" t="s">
        <v>630</v>
      </c>
      <c r="E138" s="209" t="s">
        <v>630</v>
      </c>
    </row>
    <row r="139" spans="1:5" x14ac:dyDescent="0.45">
      <c r="A139" s="210" t="s">
        <v>890</v>
      </c>
      <c r="B139" s="209">
        <v>30</v>
      </c>
      <c r="C139" s="209" t="s">
        <v>630</v>
      </c>
      <c r="D139" s="209" t="s">
        <v>630</v>
      </c>
      <c r="E139" s="209" t="s">
        <v>630</v>
      </c>
    </row>
    <row r="140" spans="1:5" x14ac:dyDescent="0.45">
      <c r="A140" s="210" t="s">
        <v>891</v>
      </c>
      <c r="B140" s="209">
        <v>30</v>
      </c>
      <c r="C140" s="209" t="s">
        <v>630</v>
      </c>
      <c r="D140" s="209" t="s">
        <v>630</v>
      </c>
      <c r="E140" s="209" t="s">
        <v>630</v>
      </c>
    </row>
    <row r="141" spans="1:5" x14ac:dyDescent="0.45">
      <c r="A141" s="210" t="s">
        <v>892</v>
      </c>
      <c r="B141" s="209">
        <v>30</v>
      </c>
      <c r="C141" s="209" t="s">
        <v>630</v>
      </c>
      <c r="D141" s="209" t="s">
        <v>630</v>
      </c>
      <c r="E141" s="209" t="s">
        <v>630</v>
      </c>
    </row>
    <row r="142" spans="1:5" x14ac:dyDescent="0.45">
      <c r="A142" s="208" t="s">
        <v>892</v>
      </c>
      <c r="B142" s="209">
        <v>30</v>
      </c>
      <c r="C142" s="209" t="s">
        <v>630</v>
      </c>
      <c r="D142" s="209" t="s">
        <v>630</v>
      </c>
      <c r="E142" s="209" t="s">
        <v>630</v>
      </c>
    </row>
    <row r="143" spans="1:5" x14ac:dyDescent="0.45">
      <c r="A143" s="210" t="s">
        <v>893</v>
      </c>
      <c r="B143" s="209">
        <v>37</v>
      </c>
      <c r="C143" s="209" t="s">
        <v>630</v>
      </c>
      <c r="D143" s="209" t="s">
        <v>630</v>
      </c>
      <c r="E143" s="209" t="s">
        <v>630</v>
      </c>
    </row>
    <row r="144" spans="1:5" x14ac:dyDescent="0.45">
      <c r="A144" s="210" t="s">
        <v>894</v>
      </c>
      <c r="B144" s="209">
        <v>37</v>
      </c>
      <c r="C144" s="209" t="s">
        <v>630</v>
      </c>
      <c r="D144" s="209" t="s">
        <v>630</v>
      </c>
      <c r="E144" s="209" t="s">
        <v>630</v>
      </c>
    </row>
    <row r="145" spans="1:5" x14ac:dyDescent="0.45">
      <c r="A145" s="210" t="s">
        <v>895</v>
      </c>
      <c r="B145" s="209">
        <v>37</v>
      </c>
      <c r="C145" s="209" t="s">
        <v>630</v>
      </c>
      <c r="D145" s="209" t="s">
        <v>630</v>
      </c>
      <c r="E145" s="209" t="s">
        <v>630</v>
      </c>
    </row>
    <row r="146" spans="1:5" x14ac:dyDescent="0.45">
      <c r="A146" s="208" t="s">
        <v>896</v>
      </c>
      <c r="B146" s="209">
        <v>37</v>
      </c>
      <c r="C146" s="209" t="s">
        <v>630</v>
      </c>
      <c r="D146" s="209" t="s">
        <v>630</v>
      </c>
      <c r="E146" s="209" t="s">
        <v>630</v>
      </c>
    </row>
    <row r="147" spans="1:5" x14ac:dyDescent="0.45">
      <c r="A147" s="210" t="s">
        <v>897</v>
      </c>
      <c r="B147" s="209">
        <v>37</v>
      </c>
      <c r="C147" s="209" t="s">
        <v>630</v>
      </c>
      <c r="D147" s="209" t="s">
        <v>630</v>
      </c>
      <c r="E147" s="209" t="s">
        <v>630</v>
      </c>
    </row>
    <row r="148" spans="1:5" x14ac:dyDescent="0.45">
      <c r="A148" s="210" t="s">
        <v>898</v>
      </c>
      <c r="B148" s="209">
        <v>37</v>
      </c>
      <c r="C148" s="209" t="s">
        <v>630</v>
      </c>
      <c r="D148" s="209" t="s">
        <v>630</v>
      </c>
      <c r="E148" s="209" t="s">
        <v>630</v>
      </c>
    </row>
    <row r="149" spans="1:5" x14ac:dyDescent="0.45">
      <c r="A149" s="210" t="s">
        <v>899</v>
      </c>
      <c r="B149" s="209">
        <v>37</v>
      </c>
      <c r="C149" s="209" t="s">
        <v>630</v>
      </c>
      <c r="D149" s="209" t="s">
        <v>630</v>
      </c>
      <c r="E149" s="209" t="s">
        <v>630</v>
      </c>
    </row>
    <row r="150" spans="1:5" x14ac:dyDescent="0.45">
      <c r="A150" s="208" t="s">
        <v>900</v>
      </c>
      <c r="B150" s="209">
        <v>37</v>
      </c>
      <c r="C150" s="209" t="s">
        <v>630</v>
      </c>
      <c r="D150" s="209" t="s">
        <v>630</v>
      </c>
      <c r="E150" s="209" t="s">
        <v>630</v>
      </c>
    </row>
    <row r="151" spans="1:5" x14ac:dyDescent="0.45">
      <c r="A151" s="175" t="s">
        <v>901</v>
      </c>
      <c r="B151" s="196">
        <v>7.5</v>
      </c>
      <c r="C151" s="196" t="s">
        <v>630</v>
      </c>
      <c r="D151" s="196" t="s">
        <v>630</v>
      </c>
      <c r="E151" s="196" t="s">
        <v>630</v>
      </c>
    </row>
    <row r="152" spans="1:5" x14ac:dyDescent="0.45">
      <c r="A152" s="175" t="s">
        <v>902</v>
      </c>
      <c r="B152" s="196">
        <v>11</v>
      </c>
      <c r="C152" s="196">
        <v>3.7</v>
      </c>
      <c r="D152" s="196" t="s">
        <v>630</v>
      </c>
      <c r="E152" s="196" t="s">
        <v>630</v>
      </c>
    </row>
    <row r="153" spans="1:5" x14ac:dyDescent="0.45">
      <c r="A153" s="175" t="s">
        <v>903</v>
      </c>
      <c r="B153" s="196">
        <v>11</v>
      </c>
      <c r="C153" s="196">
        <v>3.7</v>
      </c>
      <c r="D153" s="196" t="s">
        <v>630</v>
      </c>
      <c r="E153" s="196" t="s">
        <v>630</v>
      </c>
    </row>
    <row r="154" spans="1:5" x14ac:dyDescent="0.45">
      <c r="A154" s="175" t="s">
        <v>904</v>
      </c>
      <c r="B154" s="196">
        <v>11</v>
      </c>
      <c r="C154" s="196">
        <v>3.7</v>
      </c>
      <c r="D154" s="196">
        <v>5.5</v>
      </c>
      <c r="E154" s="196" t="s">
        <v>630</v>
      </c>
    </row>
    <row r="155" spans="1:5" x14ac:dyDescent="0.45">
      <c r="A155" s="175" t="s">
        <v>905</v>
      </c>
      <c r="B155" s="196">
        <v>11</v>
      </c>
      <c r="C155" s="196">
        <v>3.7</v>
      </c>
      <c r="D155" s="196">
        <v>5.5</v>
      </c>
      <c r="E155" s="196" t="s">
        <v>630</v>
      </c>
    </row>
    <row r="156" spans="1:5" x14ac:dyDescent="0.45">
      <c r="A156" s="175" t="s">
        <v>906</v>
      </c>
      <c r="B156" s="196">
        <v>11</v>
      </c>
      <c r="C156" s="196" t="s">
        <v>630</v>
      </c>
      <c r="D156" s="196" t="s">
        <v>630</v>
      </c>
      <c r="E156" s="196" t="s">
        <v>630</v>
      </c>
    </row>
    <row r="157" spans="1:5" x14ac:dyDescent="0.45">
      <c r="A157" s="175" t="s">
        <v>907</v>
      </c>
      <c r="B157" s="196">
        <v>11</v>
      </c>
      <c r="C157" s="196">
        <v>3.7</v>
      </c>
      <c r="D157" s="196" t="s">
        <v>630</v>
      </c>
      <c r="E157" s="196" t="s">
        <v>630</v>
      </c>
    </row>
    <row r="158" spans="1:5" x14ac:dyDescent="0.45">
      <c r="A158" s="175" t="s">
        <v>908</v>
      </c>
      <c r="B158" s="196">
        <v>11</v>
      </c>
      <c r="C158" s="196">
        <v>3.7</v>
      </c>
      <c r="D158" s="196" t="s">
        <v>630</v>
      </c>
      <c r="E158" s="196" t="s">
        <v>630</v>
      </c>
    </row>
    <row r="159" spans="1:5" x14ac:dyDescent="0.45">
      <c r="A159" s="175" t="s">
        <v>909</v>
      </c>
      <c r="B159" s="196">
        <v>11</v>
      </c>
      <c r="C159" s="196">
        <v>3.7</v>
      </c>
      <c r="D159" s="196">
        <v>5.5</v>
      </c>
      <c r="E159" s="196" t="s">
        <v>630</v>
      </c>
    </row>
    <row r="160" spans="1:5" x14ac:dyDescent="0.45">
      <c r="A160" s="175" t="s">
        <v>910</v>
      </c>
      <c r="B160" s="196">
        <v>11</v>
      </c>
      <c r="C160" s="196">
        <v>3.7</v>
      </c>
      <c r="D160" s="196">
        <v>5.5</v>
      </c>
      <c r="E160" s="196" t="s">
        <v>630</v>
      </c>
    </row>
    <row r="161" spans="1:5" x14ac:dyDescent="0.45">
      <c r="A161" s="175" t="s">
        <v>911</v>
      </c>
      <c r="B161" s="196">
        <v>15</v>
      </c>
      <c r="C161" s="196" t="s">
        <v>630</v>
      </c>
      <c r="D161" s="196" t="s">
        <v>630</v>
      </c>
      <c r="E161" s="196" t="s">
        <v>630</v>
      </c>
    </row>
    <row r="162" spans="1:5" x14ac:dyDescent="0.45">
      <c r="A162" s="175" t="s">
        <v>912</v>
      </c>
      <c r="B162" s="196">
        <v>15</v>
      </c>
      <c r="C162" s="196">
        <v>3.7</v>
      </c>
      <c r="D162" s="196" t="s">
        <v>630</v>
      </c>
      <c r="E162" s="196" t="s">
        <v>630</v>
      </c>
    </row>
    <row r="163" spans="1:5" x14ac:dyDescent="0.45">
      <c r="A163" s="175" t="s">
        <v>913</v>
      </c>
      <c r="B163" s="196">
        <v>15</v>
      </c>
      <c r="C163" s="196">
        <v>3.7</v>
      </c>
      <c r="D163" s="196" t="s">
        <v>630</v>
      </c>
      <c r="E163" s="196" t="s">
        <v>630</v>
      </c>
    </row>
    <row r="164" spans="1:5" x14ac:dyDescent="0.45">
      <c r="A164" s="175" t="s">
        <v>914</v>
      </c>
      <c r="B164" s="196">
        <v>15</v>
      </c>
      <c r="C164" s="196">
        <v>3.7</v>
      </c>
      <c r="D164" s="196">
        <v>5.5</v>
      </c>
      <c r="E164" s="196" t="s">
        <v>630</v>
      </c>
    </row>
    <row r="165" spans="1:5" x14ac:dyDescent="0.45">
      <c r="A165" s="175" t="s">
        <v>915</v>
      </c>
      <c r="B165" s="196">
        <v>15</v>
      </c>
      <c r="C165" s="196">
        <v>3.7</v>
      </c>
      <c r="D165" s="196">
        <v>5.5</v>
      </c>
      <c r="E165" s="196" t="s">
        <v>630</v>
      </c>
    </row>
    <row r="166" spans="1:5" x14ac:dyDescent="0.45">
      <c r="A166" s="210" t="s">
        <v>916</v>
      </c>
      <c r="B166" s="215" t="s">
        <v>917</v>
      </c>
      <c r="C166" s="215" t="s">
        <v>917</v>
      </c>
      <c r="D166" s="215" t="s">
        <v>917</v>
      </c>
      <c r="E166" s="215" t="s">
        <v>917</v>
      </c>
    </row>
    <row r="167" spans="1:5" x14ac:dyDescent="0.45">
      <c r="A167" s="210" t="s">
        <v>918</v>
      </c>
      <c r="B167" s="215" t="s">
        <v>917</v>
      </c>
      <c r="C167" s="215" t="s">
        <v>917</v>
      </c>
      <c r="D167" s="215" t="s">
        <v>917</v>
      </c>
      <c r="E167" s="215" t="s">
        <v>917</v>
      </c>
    </row>
    <row r="168" spans="1:5" x14ac:dyDescent="0.45">
      <c r="A168" s="210" t="s">
        <v>919</v>
      </c>
      <c r="B168" s="215" t="s">
        <v>917</v>
      </c>
      <c r="C168" s="215" t="s">
        <v>917</v>
      </c>
      <c r="D168" s="215" t="s">
        <v>917</v>
      </c>
      <c r="E168" s="215" t="s">
        <v>917</v>
      </c>
    </row>
    <row r="169" spans="1:5" x14ac:dyDescent="0.45">
      <c r="A169" s="175" t="s">
        <v>920</v>
      </c>
      <c r="B169" s="196">
        <v>37</v>
      </c>
      <c r="C169" s="196" t="s">
        <v>630</v>
      </c>
      <c r="D169" s="196" t="s">
        <v>630</v>
      </c>
      <c r="E169" s="196" t="s">
        <v>630</v>
      </c>
    </row>
    <row r="170" spans="1:5" x14ac:dyDescent="0.45">
      <c r="A170" s="175" t="s">
        <v>921</v>
      </c>
      <c r="B170" s="196">
        <v>37</v>
      </c>
      <c r="C170" s="196">
        <v>1.5</v>
      </c>
      <c r="D170" s="196" t="s">
        <v>630</v>
      </c>
      <c r="E170" s="196" t="s">
        <v>630</v>
      </c>
    </row>
    <row r="171" spans="1:5" x14ac:dyDescent="0.45">
      <c r="A171" s="175" t="s">
        <v>922</v>
      </c>
      <c r="B171" s="196">
        <v>37</v>
      </c>
      <c r="C171" s="196" t="s">
        <v>630</v>
      </c>
      <c r="D171" s="196" t="s">
        <v>630</v>
      </c>
      <c r="E171" s="196" t="s">
        <v>630</v>
      </c>
    </row>
    <row r="172" spans="1:5" x14ac:dyDescent="0.45">
      <c r="A172" s="175" t="s">
        <v>923</v>
      </c>
      <c r="B172" s="196">
        <v>37</v>
      </c>
      <c r="C172" s="196">
        <v>1.5</v>
      </c>
      <c r="D172" s="196" t="s">
        <v>630</v>
      </c>
      <c r="E172" s="196" t="s">
        <v>630</v>
      </c>
    </row>
    <row r="173" spans="1:5" x14ac:dyDescent="0.45">
      <c r="A173" s="175" t="s">
        <v>924</v>
      </c>
      <c r="B173" s="196">
        <v>37</v>
      </c>
      <c r="C173" s="196" t="s">
        <v>630</v>
      </c>
      <c r="D173" s="196" t="s">
        <v>630</v>
      </c>
      <c r="E173" s="196" t="s">
        <v>630</v>
      </c>
    </row>
    <row r="174" spans="1:5" x14ac:dyDescent="0.45">
      <c r="A174" s="175" t="s">
        <v>925</v>
      </c>
      <c r="B174" s="196">
        <v>37</v>
      </c>
      <c r="C174" s="196">
        <v>1.5</v>
      </c>
      <c r="D174" s="196" t="s">
        <v>630</v>
      </c>
      <c r="E174" s="196" t="s">
        <v>630</v>
      </c>
    </row>
    <row r="175" spans="1:5" x14ac:dyDescent="0.45">
      <c r="A175" s="210" t="s">
        <v>926</v>
      </c>
      <c r="B175" s="209">
        <v>11</v>
      </c>
      <c r="C175" s="209">
        <v>1.8</v>
      </c>
      <c r="D175" s="209">
        <v>11</v>
      </c>
      <c r="E175" s="209" t="s">
        <v>630</v>
      </c>
    </row>
    <row r="176" spans="1:5" x14ac:dyDescent="0.45">
      <c r="A176" s="210" t="s">
        <v>927</v>
      </c>
      <c r="B176" s="209">
        <v>11</v>
      </c>
      <c r="C176" s="209">
        <v>1.8</v>
      </c>
      <c r="D176" s="209" t="s">
        <v>630</v>
      </c>
      <c r="E176" s="209" t="s">
        <v>630</v>
      </c>
    </row>
    <row r="177" spans="1:5" x14ac:dyDescent="0.45">
      <c r="A177" s="175" t="s">
        <v>928</v>
      </c>
      <c r="B177" s="196">
        <v>19.5</v>
      </c>
      <c r="C177" s="196" t="s">
        <v>630</v>
      </c>
      <c r="D177" s="196" t="s">
        <v>630</v>
      </c>
      <c r="E177" s="196" t="s">
        <v>630</v>
      </c>
    </row>
    <row r="178" spans="1:5" x14ac:dyDescent="0.45">
      <c r="A178" s="210" t="s">
        <v>929</v>
      </c>
      <c r="B178" s="209">
        <v>37</v>
      </c>
      <c r="C178" s="209" t="s">
        <v>630</v>
      </c>
      <c r="D178" s="209" t="s">
        <v>630</v>
      </c>
      <c r="E178" s="209" t="s">
        <v>630</v>
      </c>
    </row>
    <row r="179" spans="1:5" x14ac:dyDescent="0.45">
      <c r="A179" s="210" t="s">
        <v>930</v>
      </c>
      <c r="B179" s="209">
        <v>37</v>
      </c>
      <c r="C179" s="209" t="s">
        <v>630</v>
      </c>
      <c r="D179" s="209" t="s">
        <v>630</v>
      </c>
      <c r="E179" s="209" t="s">
        <v>630</v>
      </c>
    </row>
    <row r="180" spans="1:5" x14ac:dyDescent="0.45">
      <c r="A180" s="175" t="s">
        <v>931</v>
      </c>
      <c r="B180" s="196">
        <v>11</v>
      </c>
      <c r="C180" s="196">
        <v>3.7</v>
      </c>
      <c r="D180" s="196">
        <v>11</v>
      </c>
      <c r="E180" s="196" t="s">
        <v>630</v>
      </c>
    </row>
    <row r="181" spans="1:5" x14ac:dyDescent="0.45">
      <c r="A181" s="175" t="s">
        <v>932</v>
      </c>
      <c r="B181" s="196">
        <v>11</v>
      </c>
      <c r="C181" s="196">
        <v>3.7</v>
      </c>
      <c r="D181" s="196">
        <v>11</v>
      </c>
      <c r="E181" s="196" t="s">
        <v>630</v>
      </c>
    </row>
    <row r="182" spans="1:5" x14ac:dyDescent="0.45">
      <c r="A182" s="175" t="s">
        <v>933</v>
      </c>
      <c r="B182" s="196">
        <v>22</v>
      </c>
      <c r="C182" s="196">
        <v>3.7</v>
      </c>
      <c r="D182" s="196">
        <v>22</v>
      </c>
      <c r="E182" s="196" t="s">
        <v>630</v>
      </c>
    </row>
    <row r="183" spans="1:5" x14ac:dyDescent="0.45">
      <c r="A183" s="175" t="s">
        <v>934</v>
      </c>
      <c r="B183" s="196">
        <v>22</v>
      </c>
      <c r="C183" s="196">
        <v>3.7</v>
      </c>
      <c r="D183" s="196">
        <v>22</v>
      </c>
      <c r="E183" s="196" t="s">
        <v>630</v>
      </c>
    </row>
    <row r="184" spans="1:5" x14ac:dyDescent="0.45">
      <c r="A184" s="210" t="s">
        <v>748</v>
      </c>
      <c r="B184" s="209">
        <v>11</v>
      </c>
      <c r="C184" s="209"/>
      <c r="D184" s="209">
        <v>11</v>
      </c>
      <c r="E184" s="209" t="s">
        <v>630</v>
      </c>
    </row>
    <row r="185" spans="1:5" x14ac:dyDescent="0.45">
      <c r="A185" s="175" t="s">
        <v>935</v>
      </c>
      <c r="B185" s="196">
        <v>15</v>
      </c>
      <c r="C185" s="196">
        <v>2.2000000000000002</v>
      </c>
      <c r="D185" s="196">
        <v>15</v>
      </c>
      <c r="E185" s="196" t="s">
        <v>630</v>
      </c>
    </row>
    <row r="186" spans="1:5" x14ac:dyDescent="0.45">
      <c r="A186" s="175" t="s">
        <v>936</v>
      </c>
      <c r="B186" s="196">
        <v>22</v>
      </c>
      <c r="C186" s="196">
        <v>2.2000000000000002</v>
      </c>
      <c r="D186" s="196">
        <v>15</v>
      </c>
      <c r="E186" s="196" t="s">
        <v>630</v>
      </c>
    </row>
    <row r="187" spans="1:5" x14ac:dyDescent="0.45">
      <c r="A187" s="210" t="s">
        <v>937</v>
      </c>
      <c r="B187" s="209">
        <v>7.5</v>
      </c>
      <c r="C187" s="209">
        <v>2.2000000000000002</v>
      </c>
      <c r="D187" s="209">
        <v>7.5</v>
      </c>
      <c r="E187" s="209" t="s">
        <v>630</v>
      </c>
    </row>
    <row r="188" spans="1:5" x14ac:dyDescent="0.45">
      <c r="A188" s="210" t="s">
        <v>938</v>
      </c>
      <c r="B188" s="209">
        <v>11</v>
      </c>
      <c r="C188" s="209">
        <v>2.2000000000000002</v>
      </c>
      <c r="D188" s="209">
        <v>7.5</v>
      </c>
      <c r="E188" s="209" t="s">
        <v>630</v>
      </c>
    </row>
    <row r="189" spans="1:5" x14ac:dyDescent="0.45">
      <c r="A189" s="210" t="s">
        <v>939</v>
      </c>
      <c r="B189" s="209">
        <v>15</v>
      </c>
      <c r="C189" s="209">
        <v>2.2000000000000002</v>
      </c>
      <c r="D189" s="209">
        <v>15</v>
      </c>
      <c r="E189" s="209" t="s">
        <v>630</v>
      </c>
    </row>
    <row r="190" spans="1:5" x14ac:dyDescent="0.45">
      <c r="A190" s="210" t="s">
        <v>940</v>
      </c>
      <c r="B190" s="209">
        <v>22</v>
      </c>
      <c r="C190" s="209">
        <v>2.2000000000000002</v>
      </c>
      <c r="D190" s="209">
        <v>15</v>
      </c>
      <c r="E190" s="209" t="s">
        <v>630</v>
      </c>
    </row>
    <row r="191" spans="1:5" x14ac:dyDescent="0.45">
      <c r="A191" s="175" t="s">
        <v>941</v>
      </c>
      <c r="B191" s="196">
        <v>22</v>
      </c>
      <c r="C191" s="196" t="s">
        <v>630</v>
      </c>
      <c r="D191" s="196" t="s">
        <v>630</v>
      </c>
      <c r="E191" s="196" t="s">
        <v>630</v>
      </c>
    </row>
    <row r="192" spans="1:5" x14ac:dyDescent="0.45">
      <c r="A192" s="175" t="s">
        <v>942</v>
      </c>
      <c r="B192" s="196">
        <v>22</v>
      </c>
      <c r="C192" s="196" t="s">
        <v>630</v>
      </c>
      <c r="D192" s="196" t="s">
        <v>630</v>
      </c>
      <c r="E192" s="196" t="s">
        <v>630</v>
      </c>
    </row>
    <row r="193" spans="1:5" ht="28.5" x14ac:dyDescent="0.45">
      <c r="A193" s="211" t="s">
        <v>943</v>
      </c>
      <c r="B193" s="196">
        <v>22</v>
      </c>
      <c r="C193" s="216">
        <v>7.5</v>
      </c>
      <c r="D193" s="196" t="s">
        <v>630</v>
      </c>
      <c r="E193" s="196" t="s">
        <v>630</v>
      </c>
    </row>
    <row r="194" spans="1:5" x14ac:dyDescent="0.45">
      <c r="A194" s="175" t="s">
        <v>944</v>
      </c>
      <c r="B194" s="196">
        <v>22</v>
      </c>
      <c r="C194" s="196" t="s">
        <v>630</v>
      </c>
      <c r="D194" s="196" t="s">
        <v>630</v>
      </c>
      <c r="E194" s="196" t="s">
        <v>630</v>
      </c>
    </row>
    <row r="195" spans="1:5" ht="28.5" x14ac:dyDescent="0.45">
      <c r="A195" s="211" t="s">
        <v>945</v>
      </c>
      <c r="B195" s="196">
        <v>22</v>
      </c>
      <c r="C195" s="216">
        <v>7.5</v>
      </c>
      <c r="D195" s="196" t="s">
        <v>630</v>
      </c>
      <c r="E195" s="196" t="s">
        <v>630</v>
      </c>
    </row>
    <row r="196" spans="1:5" x14ac:dyDescent="0.45">
      <c r="A196" s="175" t="s">
        <v>946</v>
      </c>
      <c r="B196" s="196">
        <v>22</v>
      </c>
      <c r="C196" s="196" t="s">
        <v>630</v>
      </c>
      <c r="D196" s="196" t="s">
        <v>630</v>
      </c>
      <c r="E196" s="196" t="s">
        <v>630</v>
      </c>
    </row>
    <row r="197" spans="1:5" ht="28.5" x14ac:dyDescent="0.45">
      <c r="A197" s="211" t="s">
        <v>947</v>
      </c>
      <c r="B197" s="196">
        <v>22</v>
      </c>
      <c r="C197" s="196">
        <v>1.5</v>
      </c>
      <c r="D197" s="196" t="s">
        <v>630</v>
      </c>
      <c r="E197" s="196" t="s">
        <v>630</v>
      </c>
    </row>
    <row r="198" spans="1:5" x14ac:dyDescent="0.45">
      <c r="A198" s="175" t="s">
        <v>948</v>
      </c>
      <c r="B198" s="196">
        <v>37</v>
      </c>
      <c r="C198" s="196" t="s">
        <v>630</v>
      </c>
      <c r="D198" s="196" t="s">
        <v>630</v>
      </c>
      <c r="E198" s="196" t="s">
        <v>630</v>
      </c>
    </row>
    <row r="199" spans="1:5" x14ac:dyDescent="0.45">
      <c r="A199" s="175" t="s">
        <v>949</v>
      </c>
      <c r="B199" s="196">
        <v>37</v>
      </c>
      <c r="C199" s="196">
        <v>7.5</v>
      </c>
      <c r="D199" s="196" t="s">
        <v>630</v>
      </c>
      <c r="E199" s="196" t="s">
        <v>630</v>
      </c>
    </row>
    <row r="200" spans="1:5" x14ac:dyDescent="0.45">
      <c r="A200" s="191" t="s">
        <v>950</v>
      </c>
      <c r="B200" s="198">
        <v>7.5</v>
      </c>
      <c r="C200" s="198" t="s">
        <v>630</v>
      </c>
      <c r="D200" s="198" t="s">
        <v>630</v>
      </c>
      <c r="E200" s="198" t="s">
        <v>630</v>
      </c>
    </row>
    <row r="201" spans="1:5" x14ac:dyDescent="0.45">
      <c r="A201" s="191" t="s">
        <v>951</v>
      </c>
      <c r="B201" s="198">
        <v>7.5</v>
      </c>
      <c r="C201" s="198" t="s">
        <v>630</v>
      </c>
      <c r="D201" s="198" t="s">
        <v>630</v>
      </c>
      <c r="E201" s="198" t="s">
        <v>630</v>
      </c>
    </row>
    <row r="202" spans="1:5" x14ac:dyDescent="0.45">
      <c r="A202" s="191" t="s">
        <v>952</v>
      </c>
      <c r="B202" s="198">
        <v>7.5</v>
      </c>
      <c r="C202" s="198" t="s">
        <v>630</v>
      </c>
      <c r="D202" s="198" t="s">
        <v>630</v>
      </c>
      <c r="E202" s="198" t="s">
        <v>630</v>
      </c>
    </row>
    <row r="203" spans="1:5" x14ac:dyDescent="0.45">
      <c r="A203" s="191" t="s">
        <v>953</v>
      </c>
      <c r="B203" s="198">
        <v>11</v>
      </c>
      <c r="C203" s="198" t="s">
        <v>630</v>
      </c>
      <c r="D203" s="198" t="s">
        <v>630</v>
      </c>
      <c r="E203" s="198" t="s">
        <v>630</v>
      </c>
    </row>
    <row r="204" spans="1:5" x14ac:dyDescent="0.45">
      <c r="A204" s="191" t="s">
        <v>954</v>
      </c>
      <c r="B204" s="198">
        <v>11</v>
      </c>
      <c r="C204" s="198" t="s">
        <v>630</v>
      </c>
      <c r="D204" s="198" t="s">
        <v>630</v>
      </c>
      <c r="E204" s="198" t="s">
        <v>630</v>
      </c>
    </row>
    <row r="205" spans="1:5" x14ac:dyDescent="0.45">
      <c r="A205" s="191" t="s">
        <v>955</v>
      </c>
      <c r="B205" s="198">
        <v>22</v>
      </c>
      <c r="C205" s="198" t="s">
        <v>630</v>
      </c>
      <c r="D205" s="198" t="s">
        <v>630</v>
      </c>
      <c r="E205" s="198" t="s">
        <v>630</v>
      </c>
    </row>
    <row r="206" spans="1:5" x14ac:dyDescent="0.45">
      <c r="A206" s="191" t="s">
        <v>956</v>
      </c>
      <c r="B206" s="198">
        <v>22</v>
      </c>
      <c r="C206" s="198" t="s">
        <v>630</v>
      </c>
      <c r="D206" s="198" t="s">
        <v>630</v>
      </c>
      <c r="E206" s="198" t="s">
        <v>630</v>
      </c>
    </row>
    <row r="207" spans="1:5" x14ac:dyDescent="0.45">
      <c r="A207" s="176" t="s">
        <v>957</v>
      </c>
      <c r="B207" s="197">
        <v>7.5</v>
      </c>
      <c r="C207" s="197" t="s">
        <v>630</v>
      </c>
      <c r="D207" s="197" t="s">
        <v>630</v>
      </c>
      <c r="E207" s="197" t="s">
        <v>630</v>
      </c>
    </row>
    <row r="208" spans="1:5" x14ac:dyDescent="0.45">
      <c r="A208" s="176" t="s">
        <v>958</v>
      </c>
      <c r="B208" s="197">
        <v>7.5</v>
      </c>
      <c r="C208" s="197" t="s">
        <v>630</v>
      </c>
      <c r="D208" s="197" t="s">
        <v>630</v>
      </c>
      <c r="E208" s="197" t="s">
        <v>630</v>
      </c>
    </row>
    <row r="209" spans="1:5" x14ac:dyDescent="0.45">
      <c r="A209" s="176" t="s">
        <v>959</v>
      </c>
      <c r="B209" s="197">
        <v>7.5</v>
      </c>
      <c r="C209" s="197" t="s">
        <v>630</v>
      </c>
      <c r="D209" s="197" t="s">
        <v>630</v>
      </c>
      <c r="E209" s="197" t="s">
        <v>630</v>
      </c>
    </row>
    <row r="210" spans="1:5" x14ac:dyDescent="0.45">
      <c r="A210" s="191" t="s">
        <v>960</v>
      </c>
      <c r="B210" s="198">
        <v>11</v>
      </c>
      <c r="C210" s="198" t="s">
        <v>630</v>
      </c>
      <c r="D210" s="198" t="s">
        <v>630</v>
      </c>
      <c r="E210" s="198" t="s">
        <v>630</v>
      </c>
    </row>
    <row r="211" spans="1:5" x14ac:dyDescent="0.45">
      <c r="A211" s="191" t="s">
        <v>961</v>
      </c>
      <c r="B211" s="198">
        <v>11</v>
      </c>
      <c r="C211" s="198" t="s">
        <v>630</v>
      </c>
      <c r="D211" s="198" t="s">
        <v>630</v>
      </c>
      <c r="E211" s="198" t="s">
        <v>630</v>
      </c>
    </row>
    <row r="212" spans="1:5" x14ac:dyDescent="0.45">
      <c r="A212" s="191" t="s">
        <v>962</v>
      </c>
      <c r="B212" s="198">
        <v>11</v>
      </c>
      <c r="C212" s="198" t="s">
        <v>630</v>
      </c>
      <c r="D212" s="198" t="s">
        <v>630</v>
      </c>
      <c r="E212" s="198" t="s">
        <v>630</v>
      </c>
    </row>
    <row r="213" spans="1:5" x14ac:dyDescent="0.45">
      <c r="A213" s="191" t="s">
        <v>963</v>
      </c>
      <c r="B213" s="198">
        <v>11</v>
      </c>
      <c r="C213" s="198" t="s">
        <v>630</v>
      </c>
      <c r="D213" s="198" t="s">
        <v>630</v>
      </c>
      <c r="E213" s="198" t="s">
        <v>630</v>
      </c>
    </row>
    <row r="214" spans="1:5" x14ac:dyDescent="0.45">
      <c r="A214" s="191" t="s">
        <v>964</v>
      </c>
      <c r="B214" s="198">
        <v>11</v>
      </c>
      <c r="C214" s="198" t="s">
        <v>630</v>
      </c>
      <c r="D214" s="198" t="s">
        <v>630</v>
      </c>
      <c r="E214" s="198" t="s">
        <v>630</v>
      </c>
    </row>
    <row r="215" spans="1:5" x14ac:dyDescent="0.45">
      <c r="A215" s="176" t="s">
        <v>965</v>
      </c>
      <c r="B215" s="197">
        <v>15</v>
      </c>
      <c r="C215" s="197" t="s">
        <v>630</v>
      </c>
      <c r="D215" s="197" t="s">
        <v>630</v>
      </c>
      <c r="E215" s="197" t="s">
        <v>630</v>
      </c>
    </row>
    <row r="216" spans="1:5" x14ac:dyDescent="0.45">
      <c r="A216" s="176" t="s">
        <v>966</v>
      </c>
      <c r="B216" s="197">
        <v>15</v>
      </c>
      <c r="C216" s="197" t="s">
        <v>630</v>
      </c>
      <c r="D216" s="197" t="s">
        <v>630</v>
      </c>
      <c r="E216" s="197" t="s">
        <v>630</v>
      </c>
    </row>
    <row r="217" spans="1:5" x14ac:dyDescent="0.45">
      <c r="A217" s="176" t="s">
        <v>967</v>
      </c>
      <c r="B217" s="197">
        <v>15</v>
      </c>
      <c r="C217" s="197" t="s">
        <v>630</v>
      </c>
      <c r="D217" s="197" t="s">
        <v>630</v>
      </c>
      <c r="E217" s="197" t="s">
        <v>630</v>
      </c>
    </row>
    <row r="218" spans="1:5" x14ac:dyDescent="0.45">
      <c r="A218" s="176" t="s">
        <v>968</v>
      </c>
      <c r="B218" s="197">
        <v>15</v>
      </c>
      <c r="C218" s="197" t="s">
        <v>630</v>
      </c>
      <c r="D218" s="197" t="s">
        <v>630</v>
      </c>
      <c r="E218" s="197" t="s">
        <v>630</v>
      </c>
    </row>
    <row r="219" spans="1:5" x14ac:dyDescent="0.45">
      <c r="A219" s="176" t="s">
        <v>969</v>
      </c>
      <c r="B219" s="197">
        <v>15</v>
      </c>
      <c r="C219" s="197" t="s">
        <v>630</v>
      </c>
      <c r="D219" s="197" t="s">
        <v>630</v>
      </c>
      <c r="E219" s="197" t="s">
        <v>630</v>
      </c>
    </row>
    <row r="220" spans="1:5" x14ac:dyDescent="0.45">
      <c r="A220" s="191" t="s">
        <v>970</v>
      </c>
      <c r="B220" s="198">
        <v>7.5</v>
      </c>
      <c r="C220" s="198" t="s">
        <v>630</v>
      </c>
      <c r="D220" s="198" t="s">
        <v>630</v>
      </c>
      <c r="E220" s="198" t="s">
        <v>630</v>
      </c>
    </row>
    <row r="221" spans="1:5" x14ac:dyDescent="0.45">
      <c r="A221" s="176" t="s">
        <v>971</v>
      </c>
      <c r="B221" s="197">
        <v>15</v>
      </c>
      <c r="C221" s="197" t="s">
        <v>630</v>
      </c>
      <c r="D221" s="197" t="s">
        <v>630</v>
      </c>
      <c r="E221" s="197" t="s">
        <v>630</v>
      </c>
    </row>
    <row r="222" spans="1:5" x14ac:dyDescent="0.45">
      <c r="A222" s="176" t="s">
        <v>972</v>
      </c>
      <c r="B222" s="197">
        <v>15</v>
      </c>
      <c r="C222" s="197" t="s">
        <v>630</v>
      </c>
      <c r="D222" s="197" t="s">
        <v>630</v>
      </c>
      <c r="E222" s="197" t="s">
        <v>630</v>
      </c>
    </row>
    <row r="223" spans="1:5" x14ac:dyDescent="0.45">
      <c r="A223" s="191" t="s">
        <v>973</v>
      </c>
      <c r="B223" s="198">
        <v>11</v>
      </c>
      <c r="C223" s="198" t="s">
        <v>630</v>
      </c>
      <c r="D223" s="198" t="s">
        <v>630</v>
      </c>
      <c r="E223" s="198" t="s">
        <v>630</v>
      </c>
    </row>
    <row r="224" spans="1:5" x14ac:dyDescent="0.45">
      <c r="A224" s="191" t="s">
        <v>974</v>
      </c>
      <c r="B224" s="198">
        <v>11</v>
      </c>
      <c r="C224" s="198" t="s">
        <v>630</v>
      </c>
      <c r="D224" s="198" t="s">
        <v>630</v>
      </c>
      <c r="E224" s="198" t="s">
        <v>630</v>
      </c>
    </row>
    <row r="225" spans="1:5" x14ac:dyDescent="0.45">
      <c r="A225" s="176" t="s">
        <v>749</v>
      </c>
      <c r="B225" s="197">
        <v>6</v>
      </c>
      <c r="C225" s="197" t="s">
        <v>630</v>
      </c>
      <c r="D225" s="197" t="s">
        <v>630</v>
      </c>
      <c r="E225" s="197" t="s">
        <v>630</v>
      </c>
    </row>
    <row r="226" spans="1:5" x14ac:dyDescent="0.45">
      <c r="A226" s="190" t="s">
        <v>975</v>
      </c>
      <c r="B226" s="198">
        <v>15</v>
      </c>
      <c r="C226" s="198" t="s">
        <v>630</v>
      </c>
      <c r="D226" s="198" t="s">
        <v>630</v>
      </c>
      <c r="E226" s="198" t="s">
        <v>630</v>
      </c>
    </row>
    <row r="227" spans="1:5" x14ac:dyDescent="0.45">
      <c r="A227" s="190" t="s">
        <v>976</v>
      </c>
      <c r="B227" s="198">
        <v>15</v>
      </c>
      <c r="C227" s="198" t="s">
        <v>630</v>
      </c>
      <c r="D227" s="198" t="s">
        <v>630</v>
      </c>
      <c r="E227" s="198" t="s">
        <v>630</v>
      </c>
    </row>
    <row r="228" spans="1:5" x14ac:dyDescent="0.45">
      <c r="A228" s="176" t="s">
        <v>977</v>
      </c>
      <c r="B228" s="197">
        <v>30</v>
      </c>
      <c r="C228" s="197" t="s">
        <v>630</v>
      </c>
      <c r="D228" s="197" t="s">
        <v>630</v>
      </c>
      <c r="E228" s="197" t="s">
        <v>630</v>
      </c>
    </row>
    <row r="229" spans="1:5" x14ac:dyDescent="0.45">
      <c r="A229" s="176" t="s">
        <v>978</v>
      </c>
      <c r="B229" s="197">
        <v>30</v>
      </c>
      <c r="C229" s="197" t="s">
        <v>630</v>
      </c>
      <c r="D229" s="197" t="s">
        <v>630</v>
      </c>
      <c r="E229" s="197" t="s">
        <v>630</v>
      </c>
    </row>
    <row r="230" spans="1:5" x14ac:dyDescent="0.45">
      <c r="A230" s="176" t="s">
        <v>979</v>
      </c>
      <c r="B230" s="197">
        <v>30</v>
      </c>
      <c r="C230" s="197" t="s">
        <v>630</v>
      </c>
      <c r="D230" s="197" t="s">
        <v>630</v>
      </c>
      <c r="E230" s="197" t="s">
        <v>630</v>
      </c>
    </row>
    <row r="231" spans="1:5" x14ac:dyDescent="0.45">
      <c r="A231" s="176" t="s">
        <v>980</v>
      </c>
      <c r="B231" s="197">
        <v>30</v>
      </c>
      <c r="C231" s="197" t="s">
        <v>630</v>
      </c>
      <c r="D231" s="197" t="s">
        <v>630</v>
      </c>
      <c r="E231" s="197" t="s">
        <v>630</v>
      </c>
    </row>
    <row r="232" spans="1:5" x14ac:dyDescent="0.45">
      <c r="A232" s="176" t="s">
        <v>981</v>
      </c>
      <c r="B232" s="197">
        <v>30</v>
      </c>
      <c r="C232" s="197" t="s">
        <v>630</v>
      </c>
      <c r="D232" s="197" t="s">
        <v>630</v>
      </c>
      <c r="E232" s="197" t="s">
        <v>630</v>
      </c>
    </row>
    <row r="233" spans="1:5" x14ac:dyDescent="0.45">
      <c r="A233" s="176" t="s">
        <v>982</v>
      </c>
      <c r="B233" s="197">
        <v>30</v>
      </c>
      <c r="C233" s="197" t="s">
        <v>630</v>
      </c>
      <c r="D233" s="197" t="s">
        <v>630</v>
      </c>
      <c r="E233" s="197" t="s">
        <v>630</v>
      </c>
    </row>
    <row r="234" spans="1:5" x14ac:dyDescent="0.45">
      <c r="A234" s="176" t="s">
        <v>983</v>
      </c>
      <c r="B234" s="197">
        <v>30</v>
      </c>
      <c r="C234" s="197" t="s">
        <v>630</v>
      </c>
      <c r="D234" s="197" t="s">
        <v>630</v>
      </c>
      <c r="E234" s="197" t="s">
        <v>630</v>
      </c>
    </row>
    <row r="235" spans="1:5" x14ac:dyDescent="0.45">
      <c r="A235" s="176" t="s">
        <v>984</v>
      </c>
      <c r="B235" s="197">
        <v>30</v>
      </c>
      <c r="C235" s="197" t="s">
        <v>630</v>
      </c>
      <c r="D235" s="197" t="s">
        <v>630</v>
      </c>
      <c r="E235" s="197" t="s">
        <v>630</v>
      </c>
    </row>
    <row r="236" spans="1:5" x14ac:dyDescent="0.45">
      <c r="A236" s="191" t="s">
        <v>985</v>
      </c>
      <c r="B236" s="198">
        <v>30</v>
      </c>
      <c r="C236" s="198" t="s">
        <v>630</v>
      </c>
      <c r="D236" s="198" t="s">
        <v>630</v>
      </c>
      <c r="E236" s="198" t="s">
        <v>630</v>
      </c>
    </row>
    <row r="237" spans="1:5" x14ac:dyDescent="0.45">
      <c r="A237" s="191" t="s">
        <v>986</v>
      </c>
      <c r="B237" s="198">
        <v>30</v>
      </c>
      <c r="C237" s="198" t="s">
        <v>630</v>
      </c>
      <c r="D237" s="198" t="s">
        <v>630</v>
      </c>
      <c r="E237" s="198" t="s">
        <v>630</v>
      </c>
    </row>
    <row r="238" spans="1:5" x14ac:dyDescent="0.45">
      <c r="A238" s="191" t="s">
        <v>987</v>
      </c>
      <c r="B238" s="198">
        <v>30</v>
      </c>
      <c r="C238" s="198" t="s">
        <v>630</v>
      </c>
      <c r="D238" s="198" t="s">
        <v>630</v>
      </c>
      <c r="E238" s="198" t="s">
        <v>630</v>
      </c>
    </row>
    <row r="239" spans="1:5" x14ac:dyDescent="0.45">
      <c r="A239" s="191" t="s">
        <v>988</v>
      </c>
      <c r="B239" s="198">
        <v>30</v>
      </c>
      <c r="C239" s="198" t="s">
        <v>630</v>
      </c>
      <c r="D239" s="198" t="s">
        <v>630</v>
      </c>
      <c r="E239" s="198" t="s">
        <v>630</v>
      </c>
    </row>
    <row r="240" spans="1:5" x14ac:dyDescent="0.45">
      <c r="A240" s="191" t="s">
        <v>989</v>
      </c>
      <c r="B240" s="198">
        <v>30</v>
      </c>
      <c r="C240" s="198" t="s">
        <v>630</v>
      </c>
      <c r="D240" s="198" t="s">
        <v>630</v>
      </c>
      <c r="E240" s="198" t="s">
        <v>630</v>
      </c>
    </row>
    <row r="241" spans="1:5" x14ac:dyDescent="0.45">
      <c r="A241" s="191" t="s">
        <v>990</v>
      </c>
      <c r="B241" s="198">
        <v>30</v>
      </c>
      <c r="C241" s="198" t="s">
        <v>630</v>
      </c>
      <c r="D241" s="198" t="s">
        <v>630</v>
      </c>
      <c r="E241" s="198" t="s">
        <v>630</v>
      </c>
    </row>
    <row r="242" spans="1:5" x14ac:dyDescent="0.45">
      <c r="A242" s="191" t="s">
        <v>991</v>
      </c>
      <c r="B242" s="198">
        <v>30</v>
      </c>
      <c r="C242" s="198" t="s">
        <v>630</v>
      </c>
      <c r="D242" s="198" t="s">
        <v>630</v>
      </c>
      <c r="E242" s="198" t="s">
        <v>630</v>
      </c>
    </row>
    <row r="243" spans="1:5" x14ac:dyDescent="0.45">
      <c r="A243" s="191" t="s">
        <v>992</v>
      </c>
      <c r="B243" s="198">
        <v>30</v>
      </c>
      <c r="C243" s="198" t="s">
        <v>630</v>
      </c>
      <c r="D243" s="198" t="s">
        <v>630</v>
      </c>
      <c r="E243" s="198" t="s">
        <v>630</v>
      </c>
    </row>
    <row r="244" spans="1:5" x14ac:dyDescent="0.45">
      <c r="A244" s="176" t="s">
        <v>993</v>
      </c>
      <c r="B244" s="197">
        <v>22</v>
      </c>
      <c r="C244" s="197" t="s">
        <v>630</v>
      </c>
      <c r="D244" s="197" t="s">
        <v>630</v>
      </c>
      <c r="E244" s="197" t="s">
        <v>630</v>
      </c>
    </row>
    <row r="245" spans="1:5" x14ac:dyDescent="0.45">
      <c r="A245" s="191" t="s">
        <v>862</v>
      </c>
      <c r="B245" s="198">
        <v>30</v>
      </c>
      <c r="C245" s="198" t="s">
        <v>630</v>
      </c>
      <c r="D245" s="198" t="s">
        <v>630</v>
      </c>
      <c r="E245" s="198" t="s">
        <v>630</v>
      </c>
    </row>
    <row r="246" spans="1:5" x14ac:dyDescent="0.45">
      <c r="A246" s="191" t="s">
        <v>863</v>
      </c>
      <c r="B246" s="198">
        <v>30</v>
      </c>
      <c r="C246" s="198" t="s">
        <v>630</v>
      </c>
      <c r="D246" s="198" t="s">
        <v>630</v>
      </c>
      <c r="E246" s="198" t="s">
        <v>630</v>
      </c>
    </row>
    <row r="247" spans="1:5" x14ac:dyDescent="0.45">
      <c r="A247" s="191" t="s">
        <v>864</v>
      </c>
      <c r="B247" s="198">
        <v>30</v>
      </c>
      <c r="C247" s="198" t="s">
        <v>630</v>
      </c>
      <c r="D247" s="198" t="s">
        <v>630</v>
      </c>
      <c r="E247" s="198" t="s">
        <v>630</v>
      </c>
    </row>
    <row r="248" spans="1:5" x14ac:dyDescent="0.45">
      <c r="A248" s="191" t="s">
        <v>865</v>
      </c>
      <c r="B248" s="198">
        <v>30</v>
      </c>
      <c r="C248" s="198" t="s">
        <v>630</v>
      </c>
      <c r="D248" s="198" t="s">
        <v>630</v>
      </c>
      <c r="E248" s="198" t="s">
        <v>630</v>
      </c>
    </row>
    <row r="249" spans="1:5" x14ac:dyDescent="0.45">
      <c r="A249" s="191" t="s">
        <v>866</v>
      </c>
      <c r="B249" s="198">
        <v>30</v>
      </c>
      <c r="C249" s="198" t="s">
        <v>630</v>
      </c>
      <c r="D249" s="198" t="s">
        <v>630</v>
      </c>
      <c r="E249" s="198" t="s">
        <v>630</v>
      </c>
    </row>
    <row r="250" spans="1:5" x14ac:dyDescent="0.45">
      <c r="A250" s="191" t="s">
        <v>867</v>
      </c>
      <c r="B250" s="198">
        <v>30</v>
      </c>
      <c r="C250" s="198" t="s">
        <v>630</v>
      </c>
      <c r="D250" s="198" t="s">
        <v>630</v>
      </c>
      <c r="E250" s="198" t="s">
        <v>630</v>
      </c>
    </row>
    <row r="251" spans="1:5" x14ac:dyDescent="0.45">
      <c r="A251" s="212" t="s">
        <v>994</v>
      </c>
      <c r="B251" s="213">
        <v>15</v>
      </c>
      <c r="C251" s="213" t="s">
        <v>630</v>
      </c>
      <c r="D251" s="213" t="s">
        <v>630</v>
      </c>
      <c r="E251" s="213" t="s">
        <v>630</v>
      </c>
    </row>
    <row r="252" spans="1:5" x14ac:dyDescent="0.45">
      <c r="A252" s="212" t="s">
        <v>995</v>
      </c>
      <c r="B252" s="213">
        <v>15</v>
      </c>
      <c r="C252" s="213" t="s">
        <v>630</v>
      </c>
      <c r="D252" s="213" t="s">
        <v>630</v>
      </c>
      <c r="E252" s="213" t="s">
        <v>630</v>
      </c>
    </row>
    <row r="253" spans="1:5" x14ac:dyDescent="0.45">
      <c r="A253" s="212" t="s">
        <v>996</v>
      </c>
      <c r="B253" s="213">
        <v>37</v>
      </c>
      <c r="C253" s="213" t="s">
        <v>630</v>
      </c>
      <c r="D253" s="213" t="s">
        <v>630</v>
      </c>
      <c r="E253" s="213" t="s">
        <v>630</v>
      </c>
    </row>
    <row r="254" spans="1:5" x14ac:dyDescent="0.45">
      <c r="A254" s="174" t="s">
        <v>997</v>
      </c>
      <c r="B254" s="199">
        <v>15</v>
      </c>
      <c r="C254" s="199" t="s">
        <v>630</v>
      </c>
      <c r="D254" s="199" t="s">
        <v>630</v>
      </c>
      <c r="E254" s="199" t="s">
        <v>630</v>
      </c>
    </row>
    <row r="255" spans="1:5" x14ac:dyDescent="0.45">
      <c r="A255" s="174" t="s">
        <v>998</v>
      </c>
      <c r="B255" s="199">
        <v>15</v>
      </c>
      <c r="C255" s="199" t="s">
        <v>630</v>
      </c>
      <c r="D255" s="199" t="s">
        <v>630</v>
      </c>
      <c r="E255" s="199" t="s">
        <v>630</v>
      </c>
    </row>
    <row r="256" spans="1:5" x14ac:dyDescent="0.45">
      <c r="A256" s="174" t="s">
        <v>999</v>
      </c>
      <c r="B256" s="199">
        <v>22</v>
      </c>
      <c r="C256" s="199" t="s">
        <v>630</v>
      </c>
      <c r="D256" s="199" t="s">
        <v>630</v>
      </c>
      <c r="E256" s="199" t="s">
        <v>630</v>
      </c>
    </row>
    <row r="257" spans="1:5" x14ac:dyDescent="0.45">
      <c r="A257" s="174" t="s">
        <v>1000</v>
      </c>
      <c r="B257" s="199">
        <v>22</v>
      </c>
      <c r="C257" s="199" t="s">
        <v>630</v>
      </c>
      <c r="D257" s="199" t="s">
        <v>630</v>
      </c>
      <c r="E257" s="199" t="s">
        <v>630</v>
      </c>
    </row>
    <row r="258" spans="1:5" x14ac:dyDescent="0.45">
      <c r="A258" s="174" t="s">
        <v>1001</v>
      </c>
      <c r="B258" s="199">
        <v>15</v>
      </c>
      <c r="C258" s="199" t="s">
        <v>630</v>
      </c>
      <c r="D258" s="199" t="s">
        <v>630</v>
      </c>
      <c r="E258" s="199" t="s">
        <v>630</v>
      </c>
    </row>
    <row r="259" spans="1:5" x14ac:dyDescent="0.45">
      <c r="A259" s="174" t="s">
        <v>1002</v>
      </c>
      <c r="B259" s="199">
        <v>15</v>
      </c>
      <c r="C259" s="199" t="s">
        <v>630</v>
      </c>
      <c r="D259" s="199" t="s">
        <v>630</v>
      </c>
      <c r="E259" s="199" t="s">
        <v>630</v>
      </c>
    </row>
    <row r="260" spans="1:5" x14ac:dyDescent="0.45">
      <c r="A260" s="174" t="s">
        <v>1003</v>
      </c>
      <c r="B260" s="199">
        <v>30</v>
      </c>
      <c r="C260" s="199" t="s">
        <v>630</v>
      </c>
      <c r="D260" s="199" t="s">
        <v>630</v>
      </c>
      <c r="E260" s="199" t="s">
        <v>630</v>
      </c>
    </row>
    <row r="261" spans="1:5" x14ac:dyDescent="0.45">
      <c r="A261" s="174" t="s">
        <v>1004</v>
      </c>
      <c r="B261" s="199">
        <v>30</v>
      </c>
      <c r="C261" s="199" t="s">
        <v>630</v>
      </c>
      <c r="D261" s="199" t="s">
        <v>630</v>
      </c>
      <c r="E261" s="199" t="s">
        <v>630</v>
      </c>
    </row>
    <row r="262" spans="1:5" x14ac:dyDescent="0.45">
      <c r="A262" s="174" t="s">
        <v>1005</v>
      </c>
      <c r="B262" s="199">
        <v>30</v>
      </c>
      <c r="C262" s="199" t="s">
        <v>630</v>
      </c>
      <c r="D262" s="199" t="s">
        <v>630</v>
      </c>
      <c r="E262" s="199" t="s">
        <v>630</v>
      </c>
    </row>
    <row r="263" spans="1:5" x14ac:dyDescent="0.45">
      <c r="A263" s="214" t="s">
        <v>750</v>
      </c>
      <c r="B263" s="213">
        <v>30</v>
      </c>
      <c r="C263" s="213" t="s">
        <v>630</v>
      </c>
      <c r="D263" s="213" t="s">
        <v>630</v>
      </c>
      <c r="E263" s="213" t="s">
        <v>630</v>
      </c>
    </row>
    <row r="264" spans="1:5" x14ac:dyDescent="0.45">
      <c r="A264" s="174" t="s">
        <v>1006</v>
      </c>
      <c r="B264" s="199">
        <v>75</v>
      </c>
      <c r="C264" s="199" t="s">
        <v>630</v>
      </c>
      <c r="D264" s="199" t="s">
        <v>630</v>
      </c>
      <c r="E264" s="199" t="s">
        <v>630</v>
      </c>
    </row>
    <row r="265" spans="1:5" x14ac:dyDescent="0.45">
      <c r="A265" s="214" t="s">
        <v>1007</v>
      </c>
      <c r="B265" s="213">
        <v>37</v>
      </c>
      <c r="C265" s="213" t="s">
        <v>630</v>
      </c>
      <c r="D265" s="213" t="s">
        <v>630</v>
      </c>
      <c r="E265" s="213" t="s">
        <v>630</v>
      </c>
    </row>
    <row r="266" spans="1:5" x14ac:dyDescent="0.45">
      <c r="A266" s="214" t="s">
        <v>1008</v>
      </c>
      <c r="B266" s="213">
        <v>37</v>
      </c>
      <c r="C266" s="213" t="s">
        <v>630</v>
      </c>
      <c r="D266" s="213" t="s">
        <v>630</v>
      </c>
      <c r="E266" s="213" t="s">
        <v>630</v>
      </c>
    </row>
    <row r="267" spans="1:5" x14ac:dyDescent="0.45">
      <c r="A267" s="214" t="s">
        <v>1009</v>
      </c>
      <c r="B267" s="213">
        <v>37</v>
      </c>
      <c r="C267" s="213" t="s">
        <v>630</v>
      </c>
      <c r="D267" s="213" t="s">
        <v>630</v>
      </c>
      <c r="E267" s="213" t="s">
        <v>630</v>
      </c>
    </row>
    <row r="268" spans="1:5" x14ac:dyDescent="0.45">
      <c r="A268" s="214" t="s">
        <v>1010</v>
      </c>
      <c r="B268" s="213">
        <v>37</v>
      </c>
      <c r="C268" s="213" t="s">
        <v>630</v>
      </c>
      <c r="D268" s="213" t="s">
        <v>630</v>
      </c>
      <c r="E268" s="213" t="s">
        <v>630</v>
      </c>
    </row>
    <row r="269" spans="1:5" x14ac:dyDescent="0.45">
      <c r="A269" s="214" t="s">
        <v>1011</v>
      </c>
      <c r="B269" s="213">
        <v>37</v>
      </c>
      <c r="C269" s="213" t="s">
        <v>630</v>
      </c>
      <c r="D269" s="213" t="s">
        <v>630</v>
      </c>
      <c r="E269" s="213" t="s">
        <v>630</v>
      </c>
    </row>
    <row r="270" spans="1:5" x14ac:dyDescent="0.45">
      <c r="A270" s="214" t="s">
        <v>1012</v>
      </c>
      <c r="B270" s="213">
        <v>37</v>
      </c>
      <c r="C270" s="213" t="s">
        <v>630</v>
      </c>
      <c r="D270" s="213" t="s">
        <v>630</v>
      </c>
      <c r="E270" s="213" t="s">
        <v>630</v>
      </c>
    </row>
    <row r="271" spans="1:5" x14ac:dyDescent="0.45">
      <c r="A271" s="192" t="s">
        <v>1013</v>
      </c>
      <c r="B271" s="199">
        <v>30</v>
      </c>
      <c r="C271" s="199" t="s">
        <v>630</v>
      </c>
      <c r="D271" s="199" t="s">
        <v>630</v>
      </c>
      <c r="E271" s="199" t="s">
        <v>630</v>
      </c>
    </row>
    <row r="272" spans="1:5" x14ac:dyDescent="0.45">
      <c r="A272" s="192" t="s">
        <v>1014</v>
      </c>
      <c r="B272" s="199">
        <v>30</v>
      </c>
      <c r="C272" s="199" t="s">
        <v>630</v>
      </c>
      <c r="D272" s="199" t="s">
        <v>630</v>
      </c>
      <c r="E272" s="199" t="s">
        <v>630</v>
      </c>
    </row>
    <row r="273" spans="1:5" x14ac:dyDescent="0.45">
      <c r="A273" s="214" t="s">
        <v>1015</v>
      </c>
      <c r="B273" s="213">
        <v>15</v>
      </c>
      <c r="C273" s="213" t="s">
        <v>630</v>
      </c>
      <c r="D273" s="213" t="s">
        <v>630</v>
      </c>
      <c r="E273" s="213" t="s">
        <v>630</v>
      </c>
    </row>
    <row r="274" spans="1:5" x14ac:dyDescent="0.45">
      <c r="A274" s="214" t="s">
        <v>1016</v>
      </c>
      <c r="B274" s="213">
        <v>15</v>
      </c>
      <c r="C274" s="213" t="s">
        <v>630</v>
      </c>
      <c r="D274" s="213" t="s">
        <v>630</v>
      </c>
      <c r="E274" s="213" t="s">
        <v>630</v>
      </c>
    </row>
    <row r="275" spans="1:5" x14ac:dyDescent="0.45">
      <c r="A275" s="214" t="s">
        <v>1017</v>
      </c>
      <c r="B275" s="213">
        <v>22</v>
      </c>
      <c r="C275" s="213" t="s">
        <v>630</v>
      </c>
      <c r="D275" s="213" t="s">
        <v>630</v>
      </c>
      <c r="E275" s="213" t="s">
        <v>630</v>
      </c>
    </row>
    <row r="276" spans="1:5" x14ac:dyDescent="0.45">
      <c r="A276" s="174" t="s">
        <v>973</v>
      </c>
      <c r="B276" s="199">
        <v>11</v>
      </c>
      <c r="C276" s="199" t="s">
        <v>630</v>
      </c>
      <c r="D276" s="199" t="s">
        <v>630</v>
      </c>
      <c r="E276" s="199" t="s">
        <v>630</v>
      </c>
    </row>
    <row r="277" spans="1:5" x14ac:dyDescent="0.45">
      <c r="A277" s="174" t="s">
        <v>974</v>
      </c>
      <c r="B277" s="199">
        <v>11</v>
      </c>
      <c r="C277" s="199" t="s">
        <v>630</v>
      </c>
      <c r="D277" s="199" t="s">
        <v>630</v>
      </c>
      <c r="E277" s="199" t="s">
        <v>630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6444-194D-475C-A119-79201F84CD65}">
  <dimension ref="A1:C202"/>
  <sheetViews>
    <sheetView workbookViewId="0">
      <selection activeCell="B200" sqref="B200"/>
    </sheetView>
  </sheetViews>
  <sheetFormatPr defaultRowHeight="14.25" x14ac:dyDescent="0.45"/>
  <cols>
    <col min="1" max="1" width="15.46484375" customWidth="1"/>
    <col min="2" max="2" width="16.1328125" customWidth="1"/>
    <col min="3" max="3" width="18" customWidth="1"/>
  </cols>
  <sheetData>
    <row r="1" spans="1:3" x14ac:dyDescent="0.45">
      <c r="A1" s="156" t="s">
        <v>248</v>
      </c>
      <c r="B1" s="157" t="s">
        <v>249</v>
      </c>
      <c r="C1" s="158" t="s">
        <v>250</v>
      </c>
    </row>
    <row r="2" spans="1:3" x14ac:dyDescent="0.45">
      <c r="A2" s="159" t="s">
        <v>317</v>
      </c>
      <c r="B2" s="155" t="s">
        <v>318</v>
      </c>
      <c r="C2" s="160" t="s">
        <v>262</v>
      </c>
    </row>
    <row r="3" spans="1:3" ht="20.25" x14ac:dyDescent="0.45">
      <c r="A3" s="159" t="s">
        <v>317</v>
      </c>
      <c r="B3" s="155" t="s">
        <v>319</v>
      </c>
      <c r="C3" s="160" t="s">
        <v>320</v>
      </c>
    </row>
    <row r="4" spans="1:3" ht="20.25" x14ac:dyDescent="0.45">
      <c r="A4" s="159" t="s">
        <v>317</v>
      </c>
      <c r="B4" s="155" t="s">
        <v>321</v>
      </c>
      <c r="C4" s="160" t="s">
        <v>322</v>
      </c>
    </row>
    <row r="5" spans="1:3" ht="30.4" x14ac:dyDescent="0.45">
      <c r="A5" s="159" t="s">
        <v>317</v>
      </c>
      <c r="B5" s="155" t="s">
        <v>323</v>
      </c>
      <c r="C5" s="160" t="s">
        <v>324</v>
      </c>
    </row>
    <row r="6" spans="1:3" x14ac:dyDescent="0.45">
      <c r="A6" s="159" t="s">
        <v>317</v>
      </c>
      <c r="B6" s="155" t="s">
        <v>251</v>
      </c>
      <c r="C6" s="160" t="s">
        <v>325</v>
      </c>
    </row>
    <row r="7" spans="1:3" ht="20.25" x14ac:dyDescent="0.45">
      <c r="A7" s="159" t="s">
        <v>317</v>
      </c>
      <c r="B7" s="155" t="s">
        <v>252</v>
      </c>
      <c r="C7" s="160" t="s">
        <v>326</v>
      </c>
    </row>
    <row r="8" spans="1:3" ht="20.25" x14ac:dyDescent="0.45">
      <c r="A8" s="159" t="s">
        <v>317</v>
      </c>
      <c r="B8" s="155" t="s">
        <v>327</v>
      </c>
      <c r="C8" s="160" t="s">
        <v>262</v>
      </c>
    </row>
    <row r="9" spans="1:3" ht="20.25" x14ac:dyDescent="0.45">
      <c r="A9" s="159" t="s">
        <v>317</v>
      </c>
      <c r="B9" s="155" t="s">
        <v>328</v>
      </c>
      <c r="C9" s="160" t="s">
        <v>329</v>
      </c>
    </row>
    <row r="10" spans="1:3" ht="40.5" x14ac:dyDescent="0.45">
      <c r="A10" s="159" t="s">
        <v>317</v>
      </c>
      <c r="B10" s="155" t="s">
        <v>330</v>
      </c>
      <c r="C10" s="160" t="s">
        <v>331</v>
      </c>
    </row>
    <row r="11" spans="1:3" ht="20.25" x14ac:dyDescent="0.45">
      <c r="A11" s="159" t="s">
        <v>317</v>
      </c>
      <c r="B11" s="155" t="s">
        <v>332</v>
      </c>
      <c r="C11" s="160" t="s">
        <v>333</v>
      </c>
    </row>
    <row r="12" spans="1:3" ht="30.4" x14ac:dyDescent="0.45">
      <c r="A12" s="159" t="s">
        <v>317</v>
      </c>
      <c r="B12" s="155" t="s">
        <v>334</v>
      </c>
      <c r="C12" s="160" t="s">
        <v>335</v>
      </c>
    </row>
    <row r="13" spans="1:3" ht="20.25" x14ac:dyDescent="0.45">
      <c r="A13" s="159" t="s">
        <v>317</v>
      </c>
      <c r="B13" s="155" t="s">
        <v>336</v>
      </c>
      <c r="C13" s="160" t="s">
        <v>337</v>
      </c>
    </row>
    <row r="14" spans="1:3" ht="20.25" x14ac:dyDescent="0.45">
      <c r="A14" s="159" t="s">
        <v>317</v>
      </c>
      <c r="B14" s="155" t="s">
        <v>253</v>
      </c>
      <c r="C14" s="160" t="s">
        <v>338</v>
      </c>
    </row>
    <row r="15" spans="1:3" x14ac:dyDescent="0.45">
      <c r="A15" s="159" t="s">
        <v>317</v>
      </c>
      <c r="B15" s="155" t="s">
        <v>339</v>
      </c>
      <c r="C15" s="160" t="s">
        <v>262</v>
      </c>
    </row>
    <row r="16" spans="1:3" ht="20.25" x14ac:dyDescent="0.45">
      <c r="A16" s="159" t="s">
        <v>317</v>
      </c>
      <c r="B16" s="155" t="s">
        <v>340</v>
      </c>
      <c r="C16" s="160" t="s">
        <v>341</v>
      </c>
    </row>
    <row r="17" spans="1:3" ht="20.25" x14ac:dyDescent="0.45">
      <c r="A17" s="159" t="s">
        <v>317</v>
      </c>
      <c r="B17" s="155" t="s">
        <v>340</v>
      </c>
      <c r="C17" s="160" t="s">
        <v>342</v>
      </c>
    </row>
    <row r="18" spans="1:3" ht="20.25" x14ac:dyDescent="0.45">
      <c r="A18" s="159" t="s">
        <v>317</v>
      </c>
      <c r="B18" s="155" t="s">
        <v>343</v>
      </c>
      <c r="C18" s="160" t="s">
        <v>344</v>
      </c>
    </row>
    <row r="19" spans="1:3" ht="20.25" x14ac:dyDescent="0.45">
      <c r="A19" s="159" t="s">
        <v>317</v>
      </c>
      <c r="B19" s="155" t="s">
        <v>345</v>
      </c>
      <c r="C19" s="160" t="s">
        <v>346</v>
      </c>
    </row>
    <row r="20" spans="1:3" ht="20.25" x14ac:dyDescent="0.45">
      <c r="A20" s="159" t="s">
        <v>317</v>
      </c>
      <c r="B20" s="155" t="s">
        <v>347</v>
      </c>
      <c r="C20" s="160" t="s">
        <v>262</v>
      </c>
    </row>
    <row r="21" spans="1:3" ht="30.4" x14ac:dyDescent="0.45">
      <c r="A21" s="159" t="s">
        <v>317</v>
      </c>
      <c r="B21" s="155" t="s">
        <v>348</v>
      </c>
      <c r="C21" s="160" t="s">
        <v>262</v>
      </c>
    </row>
    <row r="22" spans="1:3" ht="20.25" x14ac:dyDescent="0.45">
      <c r="A22" s="159" t="s">
        <v>317</v>
      </c>
      <c r="B22" s="155" t="s">
        <v>349</v>
      </c>
      <c r="C22" s="160" t="s">
        <v>350</v>
      </c>
    </row>
    <row r="23" spans="1:3" ht="20.25" x14ac:dyDescent="0.45">
      <c r="A23" s="159" t="s">
        <v>317</v>
      </c>
      <c r="B23" s="155" t="s">
        <v>351</v>
      </c>
      <c r="C23" s="160" t="s">
        <v>266</v>
      </c>
    </row>
    <row r="24" spans="1:3" ht="20.25" x14ac:dyDescent="0.45">
      <c r="A24" s="159" t="s">
        <v>317</v>
      </c>
      <c r="B24" s="155" t="s">
        <v>352</v>
      </c>
      <c r="C24" s="160" t="s">
        <v>262</v>
      </c>
    </row>
    <row r="25" spans="1:3" ht="20.25" x14ac:dyDescent="0.45">
      <c r="A25" s="159" t="s">
        <v>317</v>
      </c>
      <c r="B25" s="155" t="s">
        <v>353</v>
      </c>
      <c r="C25" s="160" t="s">
        <v>262</v>
      </c>
    </row>
    <row r="26" spans="1:3" ht="20.25" x14ac:dyDescent="0.45">
      <c r="A26" s="159" t="s">
        <v>317</v>
      </c>
      <c r="B26" s="155" t="s">
        <v>354</v>
      </c>
      <c r="C26" s="160" t="s">
        <v>262</v>
      </c>
    </row>
    <row r="27" spans="1:3" ht="20.25" x14ac:dyDescent="0.45">
      <c r="A27" s="159" t="s">
        <v>317</v>
      </c>
      <c r="B27" s="155" t="s">
        <v>355</v>
      </c>
      <c r="C27" s="160" t="s">
        <v>262</v>
      </c>
    </row>
    <row r="28" spans="1:3" ht="20.25" x14ac:dyDescent="0.45">
      <c r="A28" s="159" t="s">
        <v>317</v>
      </c>
      <c r="B28" s="155" t="s">
        <v>356</v>
      </c>
      <c r="C28" s="160" t="s">
        <v>357</v>
      </c>
    </row>
    <row r="29" spans="1:3" x14ac:dyDescent="0.45">
      <c r="A29" s="159" t="s">
        <v>317</v>
      </c>
      <c r="B29" s="155" t="s">
        <v>358</v>
      </c>
      <c r="C29" s="160" t="s">
        <v>359</v>
      </c>
    </row>
    <row r="30" spans="1:3" x14ac:dyDescent="0.45">
      <c r="A30" s="159" t="s">
        <v>317</v>
      </c>
      <c r="B30" s="155" t="s">
        <v>360</v>
      </c>
      <c r="C30" s="160" t="s">
        <v>361</v>
      </c>
    </row>
    <row r="31" spans="1:3" ht="20.25" x14ac:dyDescent="0.45">
      <c r="A31" s="159" t="s">
        <v>317</v>
      </c>
      <c r="B31" s="155" t="s">
        <v>362</v>
      </c>
      <c r="C31" s="160" t="s">
        <v>363</v>
      </c>
    </row>
    <row r="32" spans="1:3" ht="20.25" x14ac:dyDescent="0.45">
      <c r="A32" s="159" t="s">
        <v>317</v>
      </c>
      <c r="B32" s="155" t="s">
        <v>364</v>
      </c>
      <c r="C32" s="160" t="s">
        <v>365</v>
      </c>
    </row>
    <row r="33" spans="1:3" ht="20.25" x14ac:dyDescent="0.45">
      <c r="A33" s="159" t="s">
        <v>317</v>
      </c>
      <c r="B33" s="155" t="s">
        <v>366</v>
      </c>
      <c r="C33" s="160" t="s">
        <v>367</v>
      </c>
    </row>
    <row r="34" spans="1:3" x14ac:dyDescent="0.45">
      <c r="A34" s="159" t="s">
        <v>317</v>
      </c>
      <c r="B34" s="155" t="s">
        <v>368</v>
      </c>
      <c r="C34" s="160" t="s">
        <v>369</v>
      </c>
    </row>
    <row r="35" spans="1:3" ht="20.25" x14ac:dyDescent="0.45">
      <c r="A35" s="159" t="s">
        <v>317</v>
      </c>
      <c r="B35" s="155" t="s">
        <v>370</v>
      </c>
      <c r="C35" s="160" t="s">
        <v>371</v>
      </c>
    </row>
    <row r="36" spans="1:3" ht="20.25" x14ac:dyDescent="0.45">
      <c r="A36" s="159" t="s">
        <v>317</v>
      </c>
      <c r="B36" s="155" t="s">
        <v>372</v>
      </c>
      <c r="C36" s="160" t="s">
        <v>373</v>
      </c>
    </row>
    <row r="37" spans="1:3" ht="20.25" x14ac:dyDescent="0.45">
      <c r="A37" s="159" t="s">
        <v>317</v>
      </c>
      <c r="B37" s="155" t="s">
        <v>374</v>
      </c>
      <c r="C37" s="160" t="s">
        <v>277</v>
      </c>
    </row>
    <row r="38" spans="1:3" ht="50.65" x14ac:dyDescent="0.45">
      <c r="A38" s="159" t="s">
        <v>317</v>
      </c>
      <c r="B38" s="155" t="s">
        <v>375</v>
      </c>
      <c r="C38" s="160" t="s">
        <v>376</v>
      </c>
    </row>
    <row r="39" spans="1:3" x14ac:dyDescent="0.45">
      <c r="A39" s="159" t="s">
        <v>317</v>
      </c>
      <c r="B39" s="155" t="s">
        <v>377</v>
      </c>
      <c r="C39" s="160" t="s">
        <v>262</v>
      </c>
    </row>
    <row r="40" spans="1:3" x14ac:dyDescent="0.45">
      <c r="A40" s="159" t="s">
        <v>317</v>
      </c>
      <c r="B40" s="155" t="s">
        <v>378</v>
      </c>
      <c r="C40" s="160" t="s">
        <v>262</v>
      </c>
    </row>
    <row r="41" spans="1:3" x14ac:dyDescent="0.45">
      <c r="A41" s="159" t="s">
        <v>317</v>
      </c>
      <c r="B41" s="155" t="s">
        <v>379</v>
      </c>
      <c r="C41" s="160" t="s">
        <v>262</v>
      </c>
    </row>
    <row r="42" spans="1:3" ht="20.25" x14ac:dyDescent="0.45">
      <c r="A42" s="159" t="s">
        <v>317</v>
      </c>
      <c r="B42" s="155" t="s">
        <v>380</v>
      </c>
      <c r="C42" s="160" t="s">
        <v>357</v>
      </c>
    </row>
    <row r="43" spans="1:3" ht="20.25" x14ac:dyDescent="0.45">
      <c r="A43" s="159" t="s">
        <v>317</v>
      </c>
      <c r="B43" s="155" t="s">
        <v>381</v>
      </c>
      <c r="C43" s="160" t="s">
        <v>262</v>
      </c>
    </row>
    <row r="44" spans="1:3" ht="40.5" x14ac:dyDescent="0.45">
      <c r="A44" s="159" t="s">
        <v>317</v>
      </c>
      <c r="B44" s="155" t="s">
        <v>382</v>
      </c>
      <c r="C44" s="160" t="s">
        <v>262</v>
      </c>
    </row>
    <row r="45" spans="1:3" ht="30.4" x14ac:dyDescent="0.45">
      <c r="A45" s="159" t="s">
        <v>317</v>
      </c>
      <c r="B45" s="155" t="s">
        <v>383</v>
      </c>
      <c r="C45" s="160" t="s">
        <v>262</v>
      </c>
    </row>
    <row r="46" spans="1:3" ht="40.5" x14ac:dyDescent="0.45">
      <c r="A46" s="159" t="s">
        <v>317</v>
      </c>
      <c r="B46" s="155" t="s">
        <v>384</v>
      </c>
      <c r="C46" s="160" t="s">
        <v>262</v>
      </c>
    </row>
    <row r="47" spans="1:3" x14ac:dyDescent="0.45">
      <c r="A47" s="159" t="s">
        <v>317</v>
      </c>
      <c r="B47" s="155" t="s">
        <v>385</v>
      </c>
      <c r="C47" s="160" t="s">
        <v>262</v>
      </c>
    </row>
    <row r="48" spans="1:3" ht="20.25" x14ac:dyDescent="0.45">
      <c r="A48" s="159" t="s">
        <v>317</v>
      </c>
      <c r="B48" s="155" t="s">
        <v>386</v>
      </c>
      <c r="C48" s="160" t="s">
        <v>387</v>
      </c>
    </row>
    <row r="49" spans="1:3" x14ac:dyDescent="0.45">
      <c r="A49" s="159" t="s">
        <v>317</v>
      </c>
      <c r="B49" s="155" t="s">
        <v>388</v>
      </c>
      <c r="C49" s="160" t="s">
        <v>389</v>
      </c>
    </row>
    <row r="50" spans="1:3" ht="20.25" x14ac:dyDescent="0.45">
      <c r="A50" s="159" t="s">
        <v>317</v>
      </c>
      <c r="B50" s="155" t="s">
        <v>254</v>
      </c>
      <c r="C50" s="160" t="s">
        <v>390</v>
      </c>
    </row>
    <row r="51" spans="1:3" x14ac:dyDescent="0.45">
      <c r="A51" s="159" t="s">
        <v>317</v>
      </c>
      <c r="B51" s="155" t="s">
        <v>255</v>
      </c>
      <c r="C51" s="160" t="s">
        <v>391</v>
      </c>
    </row>
    <row r="52" spans="1:3" x14ac:dyDescent="0.45">
      <c r="A52" s="159" t="s">
        <v>317</v>
      </c>
      <c r="B52" s="155" t="s">
        <v>256</v>
      </c>
      <c r="C52" s="160" t="s">
        <v>392</v>
      </c>
    </row>
    <row r="53" spans="1:3" x14ac:dyDescent="0.45">
      <c r="A53" s="159" t="s">
        <v>317</v>
      </c>
      <c r="B53" s="155" t="s">
        <v>257</v>
      </c>
      <c r="C53" s="160" t="s">
        <v>393</v>
      </c>
    </row>
    <row r="54" spans="1:3" x14ac:dyDescent="0.45">
      <c r="A54" s="159" t="s">
        <v>317</v>
      </c>
      <c r="B54" s="155" t="s">
        <v>258</v>
      </c>
      <c r="C54" s="160" t="s">
        <v>394</v>
      </c>
    </row>
    <row r="55" spans="1:3" x14ac:dyDescent="0.45">
      <c r="A55" s="159" t="s">
        <v>317</v>
      </c>
      <c r="B55" s="155" t="s">
        <v>259</v>
      </c>
      <c r="C55" s="160" t="s">
        <v>395</v>
      </c>
    </row>
    <row r="56" spans="1:3" x14ac:dyDescent="0.45">
      <c r="A56" s="159" t="s">
        <v>317</v>
      </c>
      <c r="B56" s="155" t="s">
        <v>260</v>
      </c>
      <c r="C56" s="160" t="s">
        <v>396</v>
      </c>
    </row>
    <row r="57" spans="1:3" x14ac:dyDescent="0.45">
      <c r="A57" s="159" t="s">
        <v>317</v>
      </c>
      <c r="B57" s="155" t="s">
        <v>261</v>
      </c>
      <c r="C57" s="160" t="s">
        <v>262</v>
      </c>
    </row>
    <row r="58" spans="1:3" x14ac:dyDescent="0.45">
      <c r="A58" s="159" t="s">
        <v>317</v>
      </c>
      <c r="B58" s="155" t="s">
        <v>263</v>
      </c>
      <c r="C58" s="160" t="s">
        <v>397</v>
      </c>
    </row>
    <row r="59" spans="1:3" x14ac:dyDescent="0.45">
      <c r="A59" s="159" t="s">
        <v>317</v>
      </c>
      <c r="B59" s="155" t="s">
        <v>264</v>
      </c>
      <c r="C59" s="160" t="s">
        <v>398</v>
      </c>
    </row>
    <row r="60" spans="1:3" x14ac:dyDescent="0.45">
      <c r="A60" s="159" t="s">
        <v>317</v>
      </c>
      <c r="B60" s="155" t="s">
        <v>399</v>
      </c>
      <c r="C60" s="160" t="s">
        <v>400</v>
      </c>
    </row>
    <row r="61" spans="1:3" x14ac:dyDescent="0.45">
      <c r="A61" s="159" t="s">
        <v>317</v>
      </c>
      <c r="B61" s="155" t="s">
        <v>401</v>
      </c>
      <c r="C61" s="160" t="s">
        <v>342</v>
      </c>
    </row>
    <row r="62" spans="1:3" x14ac:dyDescent="0.45">
      <c r="A62" s="159" t="s">
        <v>317</v>
      </c>
      <c r="B62" s="155" t="s">
        <v>265</v>
      </c>
      <c r="C62" s="160" t="s">
        <v>402</v>
      </c>
    </row>
    <row r="63" spans="1:3" x14ac:dyDescent="0.45">
      <c r="A63" s="159" t="s">
        <v>317</v>
      </c>
      <c r="B63" s="155" t="s">
        <v>403</v>
      </c>
      <c r="C63" s="160" t="s">
        <v>404</v>
      </c>
    </row>
    <row r="64" spans="1:3" x14ac:dyDescent="0.45">
      <c r="A64" s="159" t="s">
        <v>317</v>
      </c>
      <c r="B64" s="155" t="s">
        <v>405</v>
      </c>
      <c r="C64" s="160" t="s">
        <v>262</v>
      </c>
    </row>
    <row r="65" spans="1:3" ht="20.25" x14ac:dyDescent="0.45">
      <c r="A65" s="159" t="s">
        <v>317</v>
      </c>
      <c r="B65" s="155" t="s">
        <v>406</v>
      </c>
      <c r="C65" s="160" t="s">
        <v>407</v>
      </c>
    </row>
    <row r="66" spans="1:3" ht="20.25" x14ac:dyDescent="0.45">
      <c r="A66" s="159" t="s">
        <v>317</v>
      </c>
      <c r="B66" s="155" t="s">
        <v>408</v>
      </c>
      <c r="C66" s="160" t="s">
        <v>409</v>
      </c>
    </row>
    <row r="67" spans="1:3" ht="20.25" x14ac:dyDescent="0.45">
      <c r="A67" s="159" t="s">
        <v>317</v>
      </c>
      <c r="B67" s="155" t="s">
        <v>410</v>
      </c>
      <c r="C67" s="160" t="s">
        <v>335</v>
      </c>
    </row>
    <row r="68" spans="1:3" x14ac:dyDescent="0.45">
      <c r="A68" s="159" t="s">
        <v>317</v>
      </c>
      <c r="B68" s="155" t="s">
        <v>411</v>
      </c>
      <c r="C68" s="160" t="s">
        <v>409</v>
      </c>
    </row>
    <row r="69" spans="1:3" x14ac:dyDescent="0.45">
      <c r="A69" s="159" t="s">
        <v>317</v>
      </c>
      <c r="B69" s="155" t="s">
        <v>412</v>
      </c>
      <c r="C69" s="160" t="s">
        <v>413</v>
      </c>
    </row>
    <row r="70" spans="1:3" ht="20.25" x14ac:dyDescent="0.45">
      <c r="A70" s="159" t="s">
        <v>317</v>
      </c>
      <c r="B70" s="155" t="s">
        <v>414</v>
      </c>
      <c r="C70" s="160" t="s">
        <v>415</v>
      </c>
    </row>
    <row r="71" spans="1:3" ht="20.25" x14ac:dyDescent="0.45">
      <c r="A71" s="159" t="s">
        <v>317</v>
      </c>
      <c r="B71" s="155" t="s">
        <v>267</v>
      </c>
      <c r="C71" s="160" t="s">
        <v>416</v>
      </c>
    </row>
    <row r="72" spans="1:3" ht="20.25" x14ac:dyDescent="0.45">
      <c r="A72" s="159" t="s">
        <v>317</v>
      </c>
      <c r="B72" s="155" t="s">
        <v>417</v>
      </c>
      <c r="C72" s="160" t="s">
        <v>418</v>
      </c>
    </row>
    <row r="73" spans="1:3" ht="20.25" x14ac:dyDescent="0.45">
      <c r="A73" s="159" t="s">
        <v>317</v>
      </c>
      <c r="B73" s="155" t="s">
        <v>419</v>
      </c>
      <c r="C73" s="160" t="s">
        <v>262</v>
      </c>
    </row>
    <row r="74" spans="1:3" ht="20.25" x14ac:dyDescent="0.45">
      <c r="A74" s="159" t="s">
        <v>317</v>
      </c>
      <c r="B74" s="155" t="s">
        <v>420</v>
      </c>
      <c r="C74" s="160" t="s">
        <v>421</v>
      </c>
    </row>
    <row r="75" spans="1:3" ht="20.25" x14ac:dyDescent="0.45">
      <c r="A75" s="159" t="s">
        <v>317</v>
      </c>
      <c r="B75" s="155" t="s">
        <v>422</v>
      </c>
      <c r="C75" s="160" t="s">
        <v>423</v>
      </c>
    </row>
    <row r="76" spans="1:3" ht="20.25" x14ac:dyDescent="0.45">
      <c r="A76" s="159" t="s">
        <v>317</v>
      </c>
      <c r="B76" s="155" t="s">
        <v>424</v>
      </c>
      <c r="C76" s="160" t="s">
        <v>425</v>
      </c>
    </row>
    <row r="77" spans="1:3" ht="30.4" x14ac:dyDescent="0.45">
      <c r="A77" s="159" t="s">
        <v>317</v>
      </c>
      <c r="B77" s="155" t="s">
        <v>426</v>
      </c>
      <c r="C77" s="160" t="s">
        <v>427</v>
      </c>
    </row>
    <row r="78" spans="1:3" ht="20.25" x14ac:dyDescent="0.45">
      <c r="A78" s="159" t="s">
        <v>317</v>
      </c>
      <c r="B78" s="155" t="s">
        <v>428</v>
      </c>
      <c r="C78" s="160" t="s">
        <v>429</v>
      </c>
    </row>
    <row r="79" spans="1:3" ht="30.4" x14ac:dyDescent="0.45">
      <c r="A79" s="159" t="s">
        <v>317</v>
      </c>
      <c r="B79" s="155" t="s">
        <v>430</v>
      </c>
      <c r="C79" s="160" t="s">
        <v>431</v>
      </c>
    </row>
    <row r="80" spans="1:3" ht="30.4" x14ac:dyDescent="0.45">
      <c r="A80" s="159" t="s">
        <v>317</v>
      </c>
      <c r="B80" s="155" t="s">
        <v>268</v>
      </c>
      <c r="C80" s="160" t="s">
        <v>432</v>
      </c>
    </row>
    <row r="81" spans="1:3" ht="20.25" x14ac:dyDescent="0.45">
      <c r="A81" s="159" t="s">
        <v>317</v>
      </c>
      <c r="B81" s="155" t="s">
        <v>433</v>
      </c>
      <c r="C81" s="160" t="s">
        <v>262</v>
      </c>
    </row>
    <row r="82" spans="1:3" ht="20.25" x14ac:dyDescent="0.45">
      <c r="A82" s="159" t="s">
        <v>317</v>
      </c>
      <c r="B82" s="155" t="s">
        <v>269</v>
      </c>
      <c r="C82" s="160" t="s">
        <v>434</v>
      </c>
    </row>
    <row r="83" spans="1:3" x14ac:dyDescent="0.45">
      <c r="A83" s="159" t="s">
        <v>317</v>
      </c>
      <c r="B83" s="155" t="s">
        <v>435</v>
      </c>
      <c r="C83" s="160" t="s">
        <v>262</v>
      </c>
    </row>
    <row r="84" spans="1:3" ht="20.25" x14ac:dyDescent="0.45">
      <c r="A84" s="159" t="s">
        <v>317</v>
      </c>
      <c r="B84" s="155" t="s">
        <v>436</v>
      </c>
      <c r="C84" s="160" t="s">
        <v>437</v>
      </c>
    </row>
    <row r="85" spans="1:3" x14ac:dyDescent="0.45">
      <c r="A85" s="159" t="s">
        <v>317</v>
      </c>
      <c r="B85" s="155" t="s">
        <v>438</v>
      </c>
      <c r="C85" s="160" t="s">
        <v>266</v>
      </c>
    </row>
    <row r="86" spans="1:3" x14ac:dyDescent="0.45">
      <c r="A86" s="159" t="s">
        <v>317</v>
      </c>
      <c r="B86" s="155" t="s">
        <v>438</v>
      </c>
      <c r="C86" s="160" t="s">
        <v>439</v>
      </c>
    </row>
    <row r="87" spans="1:3" x14ac:dyDescent="0.45">
      <c r="A87" s="159" t="s">
        <v>317</v>
      </c>
      <c r="B87" s="155" t="s">
        <v>440</v>
      </c>
      <c r="C87" s="160" t="s">
        <v>270</v>
      </c>
    </row>
    <row r="88" spans="1:3" x14ac:dyDescent="0.45">
      <c r="A88" s="159" t="s">
        <v>317</v>
      </c>
      <c r="B88" s="155" t="s">
        <v>441</v>
      </c>
      <c r="C88" s="160" t="s">
        <v>442</v>
      </c>
    </row>
    <row r="89" spans="1:3" x14ac:dyDescent="0.45">
      <c r="A89" s="159" t="s">
        <v>317</v>
      </c>
      <c r="B89" s="155" t="s">
        <v>271</v>
      </c>
      <c r="C89" s="160" t="s">
        <v>443</v>
      </c>
    </row>
    <row r="90" spans="1:3" x14ac:dyDescent="0.45">
      <c r="A90" s="159" t="s">
        <v>317</v>
      </c>
      <c r="B90" s="155" t="s">
        <v>444</v>
      </c>
      <c r="C90" s="160" t="s">
        <v>445</v>
      </c>
    </row>
    <row r="91" spans="1:3" x14ac:dyDescent="0.45">
      <c r="A91" s="159" t="s">
        <v>317</v>
      </c>
      <c r="B91" s="155" t="s">
        <v>272</v>
      </c>
      <c r="C91" s="160" t="s">
        <v>446</v>
      </c>
    </row>
    <row r="92" spans="1:3" x14ac:dyDescent="0.45">
      <c r="A92" s="159" t="s">
        <v>317</v>
      </c>
      <c r="B92" s="155" t="s">
        <v>273</v>
      </c>
      <c r="C92" s="160" t="s">
        <v>447</v>
      </c>
    </row>
    <row r="93" spans="1:3" x14ac:dyDescent="0.45">
      <c r="A93" s="159" t="s">
        <v>317</v>
      </c>
      <c r="B93" s="155" t="s">
        <v>274</v>
      </c>
      <c r="C93" s="160" t="s">
        <v>448</v>
      </c>
    </row>
    <row r="94" spans="1:3" x14ac:dyDescent="0.45">
      <c r="A94" s="159" t="s">
        <v>317</v>
      </c>
      <c r="B94" s="155" t="s">
        <v>449</v>
      </c>
      <c r="C94" s="160" t="s">
        <v>450</v>
      </c>
    </row>
    <row r="95" spans="1:3" x14ac:dyDescent="0.45">
      <c r="A95" s="159" t="s">
        <v>317</v>
      </c>
      <c r="B95" s="155" t="s">
        <v>275</v>
      </c>
      <c r="C95" s="160" t="s">
        <v>451</v>
      </c>
    </row>
    <row r="96" spans="1:3" x14ac:dyDescent="0.45">
      <c r="A96" s="159" t="s">
        <v>317</v>
      </c>
      <c r="B96" s="155" t="s">
        <v>276</v>
      </c>
      <c r="C96" s="160" t="s">
        <v>452</v>
      </c>
    </row>
    <row r="97" spans="1:3" x14ac:dyDescent="0.45">
      <c r="A97" s="159" t="s">
        <v>317</v>
      </c>
      <c r="B97" s="155" t="s">
        <v>278</v>
      </c>
      <c r="C97" s="160" t="s">
        <v>453</v>
      </c>
    </row>
    <row r="98" spans="1:3" x14ac:dyDescent="0.45">
      <c r="A98" s="159" t="s">
        <v>317</v>
      </c>
      <c r="B98" s="155" t="s">
        <v>454</v>
      </c>
      <c r="C98" s="160" t="s">
        <v>262</v>
      </c>
    </row>
    <row r="99" spans="1:3" x14ac:dyDescent="0.45">
      <c r="A99" s="159" t="s">
        <v>317</v>
      </c>
      <c r="B99" s="155" t="s">
        <v>279</v>
      </c>
      <c r="C99" s="160" t="s">
        <v>455</v>
      </c>
    </row>
    <row r="100" spans="1:3" x14ac:dyDescent="0.45">
      <c r="A100" s="159" t="s">
        <v>317</v>
      </c>
      <c r="B100" s="155" t="s">
        <v>456</v>
      </c>
      <c r="C100" s="160" t="s">
        <v>457</v>
      </c>
    </row>
    <row r="101" spans="1:3" x14ac:dyDescent="0.45">
      <c r="A101" s="159" t="s">
        <v>317</v>
      </c>
      <c r="B101" s="155" t="s">
        <v>458</v>
      </c>
      <c r="C101" s="160" t="s">
        <v>262</v>
      </c>
    </row>
    <row r="102" spans="1:3" x14ac:dyDescent="0.45">
      <c r="A102" s="159" t="s">
        <v>317</v>
      </c>
      <c r="B102" s="155" t="s">
        <v>280</v>
      </c>
      <c r="C102" s="160" t="s">
        <v>459</v>
      </c>
    </row>
    <row r="103" spans="1:3" x14ac:dyDescent="0.45">
      <c r="A103" s="159" t="s">
        <v>317</v>
      </c>
      <c r="B103" s="155" t="s">
        <v>460</v>
      </c>
      <c r="C103" s="160" t="s">
        <v>461</v>
      </c>
    </row>
    <row r="104" spans="1:3" x14ac:dyDescent="0.45">
      <c r="A104" s="159" t="s">
        <v>317</v>
      </c>
      <c r="B104" s="155" t="s">
        <v>281</v>
      </c>
      <c r="C104" s="160" t="s">
        <v>462</v>
      </c>
    </row>
    <row r="105" spans="1:3" x14ac:dyDescent="0.45">
      <c r="A105" s="159" t="s">
        <v>317</v>
      </c>
      <c r="B105" s="155" t="s">
        <v>463</v>
      </c>
      <c r="C105" s="160" t="s">
        <v>342</v>
      </c>
    </row>
    <row r="106" spans="1:3" x14ac:dyDescent="0.45">
      <c r="A106" s="159" t="s">
        <v>317</v>
      </c>
      <c r="B106" s="155" t="s">
        <v>282</v>
      </c>
      <c r="C106" s="160" t="s">
        <v>464</v>
      </c>
    </row>
    <row r="107" spans="1:3" x14ac:dyDescent="0.45">
      <c r="A107" s="159" t="s">
        <v>317</v>
      </c>
      <c r="B107" s="155" t="s">
        <v>465</v>
      </c>
      <c r="C107" s="160" t="s">
        <v>466</v>
      </c>
    </row>
    <row r="108" spans="1:3" x14ac:dyDescent="0.45">
      <c r="A108" s="159" t="s">
        <v>317</v>
      </c>
      <c r="B108" s="155" t="s">
        <v>283</v>
      </c>
      <c r="C108" s="160" t="s">
        <v>467</v>
      </c>
    </row>
    <row r="109" spans="1:3" x14ac:dyDescent="0.45">
      <c r="A109" s="159" t="s">
        <v>317</v>
      </c>
      <c r="B109" s="155" t="s">
        <v>284</v>
      </c>
      <c r="C109" s="160" t="s">
        <v>468</v>
      </c>
    </row>
    <row r="110" spans="1:3" x14ac:dyDescent="0.45">
      <c r="A110" s="159" t="s">
        <v>317</v>
      </c>
      <c r="B110" s="155" t="s">
        <v>469</v>
      </c>
      <c r="C110" s="160" t="s">
        <v>470</v>
      </c>
    </row>
    <row r="111" spans="1:3" x14ac:dyDescent="0.45">
      <c r="A111" s="159" t="s">
        <v>317</v>
      </c>
      <c r="B111" s="155" t="s">
        <v>471</v>
      </c>
      <c r="C111" s="160" t="s">
        <v>472</v>
      </c>
    </row>
    <row r="112" spans="1:3" x14ac:dyDescent="0.45">
      <c r="A112" s="159" t="s">
        <v>317</v>
      </c>
      <c r="B112" s="155" t="s">
        <v>285</v>
      </c>
      <c r="C112" s="160" t="s">
        <v>473</v>
      </c>
    </row>
    <row r="113" spans="1:3" x14ac:dyDescent="0.45">
      <c r="A113" s="159" t="s">
        <v>317</v>
      </c>
      <c r="B113" s="155" t="s">
        <v>474</v>
      </c>
      <c r="C113" s="160" t="s">
        <v>475</v>
      </c>
    </row>
    <row r="114" spans="1:3" x14ac:dyDescent="0.45">
      <c r="A114" s="159" t="s">
        <v>317</v>
      </c>
      <c r="B114" s="155" t="s">
        <v>476</v>
      </c>
      <c r="C114" s="160" t="s">
        <v>477</v>
      </c>
    </row>
    <row r="115" spans="1:3" x14ac:dyDescent="0.45">
      <c r="A115" s="159" t="s">
        <v>317</v>
      </c>
      <c r="B115" s="155" t="s">
        <v>478</v>
      </c>
      <c r="C115" s="160" t="s">
        <v>479</v>
      </c>
    </row>
    <row r="116" spans="1:3" x14ac:dyDescent="0.45">
      <c r="A116" s="159" t="s">
        <v>317</v>
      </c>
      <c r="B116" s="155" t="s">
        <v>480</v>
      </c>
      <c r="C116" s="160" t="s">
        <v>481</v>
      </c>
    </row>
    <row r="117" spans="1:3" x14ac:dyDescent="0.45">
      <c r="A117" s="159" t="s">
        <v>317</v>
      </c>
      <c r="B117" s="155" t="s">
        <v>286</v>
      </c>
      <c r="C117" s="160" t="s">
        <v>482</v>
      </c>
    </row>
    <row r="118" spans="1:3" x14ac:dyDescent="0.45">
      <c r="A118" s="159" t="s">
        <v>317</v>
      </c>
      <c r="B118" s="155" t="s">
        <v>287</v>
      </c>
      <c r="C118" s="160" t="s">
        <v>483</v>
      </c>
    </row>
    <row r="119" spans="1:3" x14ac:dyDescent="0.45">
      <c r="A119" s="159" t="s">
        <v>317</v>
      </c>
      <c r="B119" s="155" t="s">
        <v>484</v>
      </c>
      <c r="C119" s="160" t="s">
        <v>485</v>
      </c>
    </row>
    <row r="120" spans="1:3" x14ac:dyDescent="0.45">
      <c r="A120" s="159" t="s">
        <v>317</v>
      </c>
      <c r="B120" s="155" t="s">
        <v>288</v>
      </c>
      <c r="C120" s="160" t="s">
        <v>486</v>
      </c>
    </row>
    <row r="121" spans="1:3" x14ac:dyDescent="0.45">
      <c r="A121" s="159" t="s">
        <v>317</v>
      </c>
      <c r="B121" s="155" t="s">
        <v>487</v>
      </c>
      <c r="C121" s="160" t="s">
        <v>488</v>
      </c>
    </row>
    <row r="122" spans="1:3" x14ac:dyDescent="0.45">
      <c r="A122" s="159" t="s">
        <v>317</v>
      </c>
      <c r="B122" s="155" t="s">
        <v>289</v>
      </c>
      <c r="C122" s="160" t="s">
        <v>489</v>
      </c>
    </row>
    <row r="123" spans="1:3" x14ac:dyDescent="0.45">
      <c r="A123" s="159" t="s">
        <v>317</v>
      </c>
      <c r="B123" s="155" t="s">
        <v>490</v>
      </c>
      <c r="C123" s="160" t="s">
        <v>491</v>
      </c>
    </row>
    <row r="124" spans="1:3" x14ac:dyDescent="0.45">
      <c r="A124" s="159" t="s">
        <v>317</v>
      </c>
      <c r="B124" s="155" t="s">
        <v>492</v>
      </c>
      <c r="C124" s="160" t="s">
        <v>493</v>
      </c>
    </row>
    <row r="125" spans="1:3" x14ac:dyDescent="0.45">
      <c r="A125" s="159" t="s">
        <v>317</v>
      </c>
      <c r="B125" s="155" t="s">
        <v>494</v>
      </c>
      <c r="C125" s="160" t="s">
        <v>495</v>
      </c>
    </row>
    <row r="126" spans="1:3" x14ac:dyDescent="0.45">
      <c r="A126" s="159" t="s">
        <v>317</v>
      </c>
      <c r="B126" s="155" t="s">
        <v>496</v>
      </c>
      <c r="C126" s="160" t="s">
        <v>497</v>
      </c>
    </row>
    <row r="127" spans="1:3" x14ac:dyDescent="0.45">
      <c r="A127" s="159" t="s">
        <v>317</v>
      </c>
      <c r="B127" s="155" t="s">
        <v>290</v>
      </c>
      <c r="C127" s="160" t="s">
        <v>498</v>
      </c>
    </row>
    <row r="128" spans="1:3" x14ac:dyDescent="0.45">
      <c r="A128" s="159" t="s">
        <v>317</v>
      </c>
      <c r="B128" s="155" t="s">
        <v>499</v>
      </c>
      <c r="C128" s="160" t="s">
        <v>500</v>
      </c>
    </row>
    <row r="129" spans="1:3" x14ac:dyDescent="0.45">
      <c r="A129" s="159" t="s">
        <v>317</v>
      </c>
      <c r="B129" s="155" t="s">
        <v>501</v>
      </c>
      <c r="C129" s="160" t="s">
        <v>502</v>
      </c>
    </row>
    <row r="130" spans="1:3" x14ac:dyDescent="0.45">
      <c r="A130" s="159" t="s">
        <v>317</v>
      </c>
      <c r="B130" s="155" t="s">
        <v>291</v>
      </c>
      <c r="C130" s="160" t="s">
        <v>503</v>
      </c>
    </row>
    <row r="131" spans="1:3" x14ac:dyDescent="0.45">
      <c r="A131" s="159" t="s">
        <v>317</v>
      </c>
      <c r="B131" s="155" t="s">
        <v>504</v>
      </c>
      <c r="C131" s="160" t="s">
        <v>505</v>
      </c>
    </row>
    <row r="132" spans="1:3" x14ac:dyDescent="0.45">
      <c r="A132" s="159" t="s">
        <v>317</v>
      </c>
      <c r="B132" s="155" t="s">
        <v>506</v>
      </c>
      <c r="C132" s="160" t="s">
        <v>357</v>
      </c>
    </row>
    <row r="133" spans="1:3" x14ac:dyDescent="0.45">
      <c r="A133" s="159" t="s">
        <v>317</v>
      </c>
      <c r="B133" s="155" t="s">
        <v>507</v>
      </c>
      <c r="C133" s="160" t="s">
        <v>508</v>
      </c>
    </row>
    <row r="134" spans="1:3" x14ac:dyDescent="0.45">
      <c r="A134" s="159" t="s">
        <v>317</v>
      </c>
      <c r="B134" s="155" t="s">
        <v>293</v>
      </c>
      <c r="C134" s="160" t="s">
        <v>509</v>
      </c>
    </row>
    <row r="135" spans="1:3" x14ac:dyDescent="0.45">
      <c r="A135" s="159" t="s">
        <v>317</v>
      </c>
      <c r="B135" s="155" t="s">
        <v>510</v>
      </c>
      <c r="C135" s="160" t="s">
        <v>511</v>
      </c>
    </row>
    <row r="136" spans="1:3" x14ac:dyDescent="0.45">
      <c r="A136" s="159" t="s">
        <v>317</v>
      </c>
      <c r="B136" s="155" t="s">
        <v>512</v>
      </c>
      <c r="C136" s="160" t="s">
        <v>513</v>
      </c>
    </row>
    <row r="137" spans="1:3" x14ac:dyDescent="0.45">
      <c r="A137" s="159" t="s">
        <v>317</v>
      </c>
      <c r="B137" s="155" t="s">
        <v>514</v>
      </c>
      <c r="C137" s="160" t="s">
        <v>515</v>
      </c>
    </row>
    <row r="138" spans="1:3" x14ac:dyDescent="0.45">
      <c r="A138" s="159" t="s">
        <v>317</v>
      </c>
      <c r="B138" s="155" t="s">
        <v>516</v>
      </c>
      <c r="C138" s="160" t="s">
        <v>262</v>
      </c>
    </row>
    <row r="139" spans="1:3" x14ac:dyDescent="0.45">
      <c r="A139" s="159" t="s">
        <v>317</v>
      </c>
      <c r="B139" s="155" t="s">
        <v>517</v>
      </c>
      <c r="C139" s="160" t="s">
        <v>518</v>
      </c>
    </row>
    <row r="140" spans="1:3" x14ac:dyDescent="0.45">
      <c r="A140" s="159" t="s">
        <v>317</v>
      </c>
      <c r="B140" s="155" t="s">
        <v>519</v>
      </c>
      <c r="C140" s="160" t="s">
        <v>520</v>
      </c>
    </row>
    <row r="141" spans="1:3" x14ac:dyDescent="0.45">
      <c r="A141" s="159" t="s">
        <v>317</v>
      </c>
      <c r="B141" s="155" t="s">
        <v>521</v>
      </c>
      <c r="C141" s="160" t="s">
        <v>522</v>
      </c>
    </row>
    <row r="142" spans="1:3" x14ac:dyDescent="0.45">
      <c r="A142" s="159" t="s">
        <v>317</v>
      </c>
      <c r="B142" s="155" t="s">
        <v>521</v>
      </c>
      <c r="C142" s="160" t="s">
        <v>523</v>
      </c>
    </row>
    <row r="143" spans="1:3" x14ac:dyDescent="0.45">
      <c r="A143" s="159" t="s">
        <v>317</v>
      </c>
      <c r="B143" s="155" t="s">
        <v>524</v>
      </c>
      <c r="C143" s="160" t="s">
        <v>525</v>
      </c>
    </row>
    <row r="144" spans="1:3" x14ac:dyDescent="0.45">
      <c r="A144" s="159" t="s">
        <v>317</v>
      </c>
      <c r="B144" s="155" t="s">
        <v>524</v>
      </c>
      <c r="C144" s="160" t="s">
        <v>526</v>
      </c>
    </row>
    <row r="145" spans="1:3" x14ac:dyDescent="0.45">
      <c r="A145" s="159" t="s">
        <v>317</v>
      </c>
      <c r="B145" s="155" t="s">
        <v>527</v>
      </c>
      <c r="C145" s="160" t="s">
        <v>528</v>
      </c>
    </row>
    <row r="146" spans="1:3" x14ac:dyDescent="0.45">
      <c r="A146" s="159" t="s">
        <v>317</v>
      </c>
      <c r="B146" s="155" t="s">
        <v>529</v>
      </c>
      <c r="C146" s="160" t="s">
        <v>530</v>
      </c>
    </row>
    <row r="147" spans="1:3" x14ac:dyDescent="0.45">
      <c r="A147" s="159" t="s">
        <v>317</v>
      </c>
      <c r="B147" s="155" t="s">
        <v>294</v>
      </c>
      <c r="C147" s="160" t="s">
        <v>531</v>
      </c>
    </row>
    <row r="148" spans="1:3" x14ac:dyDescent="0.45">
      <c r="A148" s="159" t="s">
        <v>317</v>
      </c>
      <c r="B148" s="155" t="s">
        <v>294</v>
      </c>
      <c r="C148" s="160" t="s">
        <v>532</v>
      </c>
    </row>
    <row r="149" spans="1:3" x14ac:dyDescent="0.45">
      <c r="A149" s="159" t="s">
        <v>317</v>
      </c>
      <c r="B149" s="155" t="s">
        <v>295</v>
      </c>
      <c r="C149" s="160" t="s">
        <v>533</v>
      </c>
    </row>
    <row r="150" spans="1:3" x14ac:dyDescent="0.45">
      <c r="A150" s="159" t="s">
        <v>317</v>
      </c>
      <c r="B150" s="155" t="s">
        <v>296</v>
      </c>
      <c r="C150" s="160" t="s">
        <v>534</v>
      </c>
    </row>
    <row r="151" spans="1:3" x14ac:dyDescent="0.45">
      <c r="A151" s="159" t="s">
        <v>317</v>
      </c>
      <c r="B151" s="155" t="s">
        <v>535</v>
      </c>
      <c r="C151" s="160" t="s">
        <v>536</v>
      </c>
    </row>
    <row r="152" spans="1:3" x14ac:dyDescent="0.45">
      <c r="A152" s="159" t="s">
        <v>317</v>
      </c>
      <c r="B152" s="155" t="s">
        <v>537</v>
      </c>
      <c r="C152" s="160" t="s">
        <v>262</v>
      </c>
    </row>
    <row r="153" spans="1:3" x14ac:dyDescent="0.45">
      <c r="A153" s="159" t="s">
        <v>317</v>
      </c>
      <c r="B153" s="155" t="s">
        <v>297</v>
      </c>
      <c r="C153" s="160" t="s">
        <v>538</v>
      </c>
    </row>
    <row r="154" spans="1:3" x14ac:dyDescent="0.45">
      <c r="A154" s="159" t="s">
        <v>317</v>
      </c>
      <c r="B154" s="155" t="s">
        <v>539</v>
      </c>
      <c r="C154" s="160" t="s">
        <v>262</v>
      </c>
    </row>
    <row r="155" spans="1:3" x14ac:dyDescent="0.45">
      <c r="A155" s="159" t="s">
        <v>317</v>
      </c>
      <c r="B155" s="155" t="s">
        <v>540</v>
      </c>
      <c r="C155" s="160" t="s">
        <v>400</v>
      </c>
    </row>
    <row r="156" spans="1:3" x14ac:dyDescent="0.45">
      <c r="A156" s="159" t="s">
        <v>317</v>
      </c>
      <c r="B156" s="155" t="s">
        <v>541</v>
      </c>
      <c r="C156" s="160" t="s">
        <v>400</v>
      </c>
    </row>
    <row r="157" spans="1:3" x14ac:dyDescent="0.45">
      <c r="A157" s="159" t="s">
        <v>317</v>
      </c>
      <c r="B157" s="155" t="s">
        <v>298</v>
      </c>
      <c r="C157" s="160" t="s">
        <v>542</v>
      </c>
    </row>
    <row r="158" spans="1:3" x14ac:dyDescent="0.45">
      <c r="A158" s="159" t="s">
        <v>317</v>
      </c>
      <c r="B158" s="155" t="s">
        <v>299</v>
      </c>
      <c r="C158" s="160" t="s">
        <v>543</v>
      </c>
    </row>
    <row r="159" spans="1:3" ht="30.4" x14ac:dyDescent="0.45">
      <c r="A159" s="159" t="s">
        <v>317</v>
      </c>
      <c r="B159" s="155" t="s">
        <v>300</v>
      </c>
      <c r="C159" s="160" t="s">
        <v>468</v>
      </c>
    </row>
    <row r="160" spans="1:3" ht="30.4" x14ac:dyDescent="0.45">
      <c r="A160" s="159" t="s">
        <v>317</v>
      </c>
      <c r="B160" s="155" t="s">
        <v>301</v>
      </c>
      <c r="C160" s="160" t="s">
        <v>544</v>
      </c>
    </row>
    <row r="161" spans="1:3" x14ac:dyDescent="0.45">
      <c r="A161" s="159" t="s">
        <v>317</v>
      </c>
      <c r="B161" s="155" t="s">
        <v>302</v>
      </c>
      <c r="C161" s="160" t="s">
        <v>545</v>
      </c>
    </row>
    <row r="162" spans="1:3" ht="20.25" x14ac:dyDescent="0.45">
      <c r="A162" s="159" t="s">
        <v>317</v>
      </c>
      <c r="B162" s="155" t="s">
        <v>303</v>
      </c>
      <c r="C162" s="160" t="s">
        <v>546</v>
      </c>
    </row>
    <row r="163" spans="1:3" x14ac:dyDescent="0.45">
      <c r="A163" s="159" t="s">
        <v>317</v>
      </c>
      <c r="B163" s="155" t="s">
        <v>547</v>
      </c>
      <c r="C163" s="160" t="s">
        <v>369</v>
      </c>
    </row>
    <row r="164" spans="1:3" x14ac:dyDescent="0.45">
      <c r="A164" s="159" t="s">
        <v>317</v>
      </c>
      <c r="B164" s="155" t="s">
        <v>304</v>
      </c>
      <c r="C164" s="160" t="s">
        <v>320</v>
      </c>
    </row>
    <row r="165" spans="1:3" x14ac:dyDescent="0.45">
      <c r="A165" s="159" t="s">
        <v>317</v>
      </c>
      <c r="B165" s="155" t="s">
        <v>548</v>
      </c>
      <c r="C165" s="160" t="s">
        <v>549</v>
      </c>
    </row>
    <row r="166" spans="1:3" x14ac:dyDescent="0.45">
      <c r="A166" s="159" t="s">
        <v>317</v>
      </c>
      <c r="B166" s="155" t="s">
        <v>305</v>
      </c>
      <c r="C166" s="160" t="s">
        <v>550</v>
      </c>
    </row>
    <row r="167" spans="1:3" x14ac:dyDescent="0.45">
      <c r="A167" s="159" t="s">
        <v>317</v>
      </c>
      <c r="B167" s="155" t="s">
        <v>306</v>
      </c>
      <c r="C167" s="160" t="s">
        <v>551</v>
      </c>
    </row>
    <row r="168" spans="1:3" x14ac:dyDescent="0.45">
      <c r="A168" s="159" t="s">
        <v>317</v>
      </c>
      <c r="B168" s="155" t="s">
        <v>307</v>
      </c>
      <c r="C168" s="160" t="s">
        <v>552</v>
      </c>
    </row>
    <row r="169" spans="1:3" x14ac:dyDescent="0.45">
      <c r="A169" s="159" t="s">
        <v>317</v>
      </c>
      <c r="B169" s="155" t="s">
        <v>553</v>
      </c>
      <c r="C169" s="160" t="s">
        <v>320</v>
      </c>
    </row>
    <row r="170" spans="1:3" x14ac:dyDescent="0.45">
      <c r="A170" s="159" t="s">
        <v>317</v>
      </c>
      <c r="B170" s="155" t="s">
        <v>554</v>
      </c>
      <c r="C170" s="160" t="s">
        <v>555</v>
      </c>
    </row>
    <row r="171" spans="1:3" x14ac:dyDescent="0.45">
      <c r="A171" s="159" t="s">
        <v>317</v>
      </c>
      <c r="B171" s="155" t="s">
        <v>556</v>
      </c>
      <c r="C171" s="160" t="s">
        <v>262</v>
      </c>
    </row>
    <row r="172" spans="1:3" x14ac:dyDescent="0.45">
      <c r="A172" s="159" t="s">
        <v>317</v>
      </c>
      <c r="B172" s="155" t="s">
        <v>557</v>
      </c>
      <c r="C172" s="160" t="s">
        <v>320</v>
      </c>
    </row>
    <row r="173" spans="1:3" x14ac:dyDescent="0.45">
      <c r="A173" s="159" t="s">
        <v>317</v>
      </c>
      <c r="B173" s="155" t="s">
        <v>308</v>
      </c>
      <c r="C173" s="160" t="s">
        <v>558</v>
      </c>
    </row>
    <row r="174" spans="1:3" x14ac:dyDescent="0.45">
      <c r="A174" s="159" t="s">
        <v>317</v>
      </c>
      <c r="B174" s="155" t="s">
        <v>559</v>
      </c>
      <c r="C174" s="160" t="s">
        <v>320</v>
      </c>
    </row>
    <row r="175" spans="1:3" x14ac:dyDescent="0.45">
      <c r="A175" s="159" t="s">
        <v>317</v>
      </c>
      <c r="B175" s="155" t="s">
        <v>560</v>
      </c>
      <c r="C175" s="160" t="s">
        <v>561</v>
      </c>
    </row>
    <row r="176" spans="1:3" x14ac:dyDescent="0.45">
      <c r="A176" s="159" t="s">
        <v>317</v>
      </c>
      <c r="B176" s="155" t="s">
        <v>309</v>
      </c>
      <c r="C176" s="160" t="s">
        <v>562</v>
      </c>
    </row>
    <row r="177" spans="1:3" x14ac:dyDescent="0.45">
      <c r="A177" s="159" t="s">
        <v>317</v>
      </c>
      <c r="B177" s="155" t="s">
        <v>310</v>
      </c>
      <c r="C177" s="160" t="s">
        <v>563</v>
      </c>
    </row>
    <row r="178" spans="1:3" x14ac:dyDescent="0.45">
      <c r="A178" s="159" t="s">
        <v>317</v>
      </c>
      <c r="B178" s="155" t="s">
        <v>564</v>
      </c>
      <c r="C178" s="160" t="s">
        <v>565</v>
      </c>
    </row>
    <row r="179" spans="1:3" x14ac:dyDescent="0.45">
      <c r="A179" s="159" t="s">
        <v>317</v>
      </c>
      <c r="B179" s="155" t="s">
        <v>566</v>
      </c>
      <c r="C179" s="160" t="s">
        <v>534</v>
      </c>
    </row>
    <row r="180" spans="1:3" x14ac:dyDescent="0.45">
      <c r="A180" s="159" t="s">
        <v>317</v>
      </c>
      <c r="B180" s="155" t="s">
        <v>567</v>
      </c>
      <c r="C180" s="160" t="s">
        <v>320</v>
      </c>
    </row>
    <row r="181" spans="1:3" x14ac:dyDescent="0.45">
      <c r="A181" s="159" t="s">
        <v>317</v>
      </c>
      <c r="B181" s="155" t="s">
        <v>568</v>
      </c>
      <c r="C181" s="160" t="s">
        <v>292</v>
      </c>
    </row>
    <row r="182" spans="1:3" x14ac:dyDescent="0.45">
      <c r="A182" s="159" t="s">
        <v>317</v>
      </c>
      <c r="B182" s="155" t="s">
        <v>569</v>
      </c>
      <c r="C182" s="160" t="s">
        <v>570</v>
      </c>
    </row>
    <row r="183" spans="1:3" x14ac:dyDescent="0.45">
      <c r="A183" s="159" t="s">
        <v>317</v>
      </c>
      <c r="B183" s="155" t="s">
        <v>311</v>
      </c>
      <c r="C183" s="160" t="s">
        <v>571</v>
      </c>
    </row>
    <row r="184" spans="1:3" x14ac:dyDescent="0.45">
      <c r="A184" s="159" t="s">
        <v>317</v>
      </c>
      <c r="B184" s="155" t="s">
        <v>312</v>
      </c>
      <c r="C184" s="160" t="s">
        <v>572</v>
      </c>
    </row>
    <row r="185" spans="1:3" x14ac:dyDescent="0.45">
      <c r="A185" s="159" t="s">
        <v>317</v>
      </c>
      <c r="B185" s="155" t="s">
        <v>313</v>
      </c>
      <c r="C185" s="160" t="s">
        <v>573</v>
      </c>
    </row>
    <row r="186" spans="1:3" x14ac:dyDescent="0.45">
      <c r="A186" s="159" t="s">
        <v>317</v>
      </c>
      <c r="B186" s="155" t="s">
        <v>574</v>
      </c>
      <c r="C186" s="160" t="s">
        <v>320</v>
      </c>
    </row>
    <row r="187" spans="1:3" x14ac:dyDescent="0.45">
      <c r="A187" s="159" t="s">
        <v>317</v>
      </c>
      <c r="B187" s="155" t="s">
        <v>575</v>
      </c>
      <c r="C187" s="160" t="s">
        <v>389</v>
      </c>
    </row>
    <row r="188" spans="1:3" x14ac:dyDescent="0.45">
      <c r="A188" s="159" t="s">
        <v>317</v>
      </c>
      <c r="B188" s="155" t="s">
        <v>576</v>
      </c>
      <c r="C188" s="160" t="s">
        <v>262</v>
      </c>
    </row>
    <row r="189" spans="1:3" ht="30.4" x14ac:dyDescent="0.45">
      <c r="A189" s="159" t="s">
        <v>317</v>
      </c>
      <c r="B189" s="155" t="s">
        <v>577</v>
      </c>
      <c r="C189" s="160" t="s">
        <v>578</v>
      </c>
    </row>
    <row r="190" spans="1:3" ht="20.25" x14ac:dyDescent="0.45">
      <c r="A190" s="159" t="s">
        <v>317</v>
      </c>
      <c r="B190" s="155" t="s">
        <v>314</v>
      </c>
      <c r="C190" s="160" t="s">
        <v>579</v>
      </c>
    </row>
    <row r="191" spans="1:3" x14ac:dyDescent="0.45">
      <c r="A191" s="159" t="s">
        <v>317</v>
      </c>
      <c r="B191" s="155" t="s">
        <v>580</v>
      </c>
      <c r="C191" s="160" t="s">
        <v>581</v>
      </c>
    </row>
    <row r="192" spans="1:3" x14ac:dyDescent="0.45">
      <c r="A192" s="159" t="s">
        <v>317</v>
      </c>
      <c r="B192" s="155" t="s">
        <v>582</v>
      </c>
      <c r="C192" s="160" t="s">
        <v>583</v>
      </c>
    </row>
    <row r="193" spans="1:3" x14ac:dyDescent="0.45">
      <c r="A193" s="159" t="s">
        <v>317</v>
      </c>
      <c r="B193" s="155" t="s">
        <v>315</v>
      </c>
      <c r="C193" s="160" t="s">
        <v>584</v>
      </c>
    </row>
    <row r="194" spans="1:3" x14ac:dyDescent="0.45">
      <c r="A194" s="159" t="s">
        <v>317</v>
      </c>
      <c r="B194" s="155" t="s">
        <v>585</v>
      </c>
      <c r="C194" s="160" t="s">
        <v>586</v>
      </c>
    </row>
    <row r="195" spans="1:3" x14ac:dyDescent="0.45">
      <c r="A195" s="159" t="s">
        <v>317</v>
      </c>
      <c r="B195" s="155" t="s">
        <v>587</v>
      </c>
      <c r="C195" s="160" t="s">
        <v>262</v>
      </c>
    </row>
    <row r="196" spans="1:3" ht="20.25" x14ac:dyDescent="0.45">
      <c r="A196" s="159" t="s">
        <v>317</v>
      </c>
      <c r="B196" s="155" t="s">
        <v>588</v>
      </c>
      <c r="C196" s="160" t="s">
        <v>589</v>
      </c>
    </row>
    <row r="197" spans="1:3" ht="20.25" x14ac:dyDescent="0.45">
      <c r="A197" s="159" t="s">
        <v>317</v>
      </c>
      <c r="B197" s="155" t="s">
        <v>590</v>
      </c>
      <c r="C197" s="160" t="s">
        <v>262</v>
      </c>
    </row>
    <row r="198" spans="1:3" x14ac:dyDescent="0.45">
      <c r="A198" s="159" t="s">
        <v>317</v>
      </c>
      <c r="B198" s="155" t="s">
        <v>591</v>
      </c>
      <c r="C198" s="160" t="s">
        <v>320</v>
      </c>
    </row>
    <row r="199" spans="1:3" x14ac:dyDescent="0.45">
      <c r="A199" s="159" t="s">
        <v>317</v>
      </c>
      <c r="B199" s="155" t="s">
        <v>592</v>
      </c>
      <c r="C199" s="160" t="s">
        <v>593</v>
      </c>
    </row>
    <row r="200" spans="1:3" ht="20.25" x14ac:dyDescent="0.45">
      <c r="A200" s="159" t="s">
        <v>317</v>
      </c>
      <c r="B200" s="155" t="s">
        <v>316</v>
      </c>
      <c r="C200" s="160" t="s">
        <v>594</v>
      </c>
    </row>
    <row r="201" spans="1:3" x14ac:dyDescent="0.45">
      <c r="A201" s="159" t="s">
        <v>317</v>
      </c>
      <c r="B201" s="155" t="s">
        <v>595</v>
      </c>
      <c r="C201" s="160" t="s">
        <v>262</v>
      </c>
    </row>
    <row r="202" spans="1:3" x14ac:dyDescent="0.45">
      <c r="A202" s="159" t="s">
        <v>317</v>
      </c>
      <c r="B202" s="155" t="s">
        <v>596</v>
      </c>
      <c r="C202" s="160" t="s">
        <v>262</v>
      </c>
    </row>
  </sheetData>
  <autoFilter ref="A1:C202" xr:uid="{87A86444-194D-475C-A119-79201F84CD65}">
    <sortState xmlns:xlrd2="http://schemas.microsoft.com/office/spreadsheetml/2017/richdata2" ref="A2:C202">
      <sortCondition ref="A1:A202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CF364-998B-474D-A19B-22FEFE188380}">
  <dimension ref="A1:B15"/>
  <sheetViews>
    <sheetView workbookViewId="0">
      <selection activeCell="C7" sqref="C7"/>
    </sheetView>
  </sheetViews>
  <sheetFormatPr defaultRowHeight="14.25" x14ac:dyDescent="0.45"/>
  <cols>
    <col min="1" max="1" width="23.19921875" bestFit="1" customWidth="1"/>
    <col min="2" max="2" width="14.33203125" customWidth="1"/>
  </cols>
  <sheetData>
    <row r="1" spans="1:2" ht="28.5" x14ac:dyDescent="0.45">
      <c r="A1" s="142" t="s">
        <v>221</v>
      </c>
      <c r="B1" s="123" t="s">
        <v>235</v>
      </c>
    </row>
    <row r="2" spans="1:2" ht="16.5" x14ac:dyDescent="0.45">
      <c r="A2" s="127" t="s">
        <v>222</v>
      </c>
      <c r="B2" s="148">
        <v>7</v>
      </c>
    </row>
    <row r="3" spans="1:2" x14ac:dyDescent="0.45">
      <c r="A3" s="127" t="s">
        <v>223</v>
      </c>
      <c r="B3" s="127">
        <v>2.88</v>
      </c>
    </row>
    <row r="4" spans="1:2" x14ac:dyDescent="0.45">
      <c r="A4" s="127" t="s">
        <v>224</v>
      </c>
      <c r="B4" s="127">
        <v>2.5059999999999998</v>
      </c>
    </row>
    <row r="5" spans="1:2" x14ac:dyDescent="0.45">
      <c r="A5" s="127" t="s">
        <v>225</v>
      </c>
      <c r="B5" s="127">
        <v>2.9</v>
      </c>
    </row>
    <row r="6" spans="1:2" x14ac:dyDescent="0.45">
      <c r="A6" s="127" t="s">
        <v>226</v>
      </c>
      <c r="B6" s="127">
        <v>3.198</v>
      </c>
    </row>
    <row r="7" spans="1:2" x14ac:dyDescent="0.45">
      <c r="A7" s="127" t="s">
        <v>227</v>
      </c>
      <c r="B7" s="127">
        <v>1.95</v>
      </c>
    </row>
    <row r="8" spans="1:2" x14ac:dyDescent="0.45">
      <c r="A8" s="127" t="s">
        <v>228</v>
      </c>
      <c r="B8" s="127">
        <v>7.83</v>
      </c>
    </row>
    <row r="9" spans="1:2" x14ac:dyDescent="0.45">
      <c r="A9" s="127" t="s">
        <v>205</v>
      </c>
      <c r="B9" s="127">
        <v>16</v>
      </c>
    </row>
    <row r="10" spans="1:2" x14ac:dyDescent="0.45">
      <c r="A10" s="127" t="s">
        <v>220</v>
      </c>
      <c r="B10" s="127">
        <v>1.85</v>
      </c>
    </row>
    <row r="11" spans="1:2" x14ac:dyDescent="0.45">
      <c r="A11" s="127" t="s">
        <v>229</v>
      </c>
      <c r="B11" s="127">
        <v>0.12</v>
      </c>
    </row>
    <row r="12" spans="1:2" x14ac:dyDescent="0.45">
      <c r="A12" s="127" t="s">
        <v>230</v>
      </c>
      <c r="B12" s="127">
        <v>0.27</v>
      </c>
    </row>
    <row r="13" spans="1:2" x14ac:dyDescent="0.45">
      <c r="A13" s="127" t="s">
        <v>231</v>
      </c>
      <c r="B13" s="127">
        <v>0.46</v>
      </c>
    </row>
    <row r="14" spans="1:2" x14ac:dyDescent="0.45">
      <c r="A14" s="127" t="s">
        <v>232</v>
      </c>
      <c r="B14" s="127">
        <v>0.8</v>
      </c>
    </row>
    <row r="15" spans="1:2" x14ac:dyDescent="0.45">
      <c r="A15" s="127" t="s">
        <v>233</v>
      </c>
      <c r="B15" s="127">
        <v>1.79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D3FB-F912-42B3-B605-31DC335FC9DA}">
  <dimension ref="A1:L258"/>
  <sheetViews>
    <sheetView workbookViewId="0">
      <selection activeCell="C71" sqref="C71"/>
    </sheetView>
  </sheetViews>
  <sheetFormatPr defaultRowHeight="14.25" x14ac:dyDescent="0.45"/>
  <cols>
    <col min="2" max="2" width="8.86328125" bestFit="1" customWidth="1"/>
    <col min="8" max="8" width="97" bestFit="1" customWidth="1"/>
  </cols>
  <sheetData>
    <row r="1" spans="1:12" ht="66" x14ac:dyDescent="0.45">
      <c r="A1" s="130" t="s">
        <v>0</v>
      </c>
      <c r="B1" s="131" t="s">
        <v>207</v>
      </c>
      <c r="C1" s="132"/>
      <c r="D1" s="132"/>
      <c r="E1" s="132"/>
      <c r="F1" s="132"/>
      <c r="G1" s="132"/>
      <c r="H1" s="133" t="s">
        <v>208</v>
      </c>
      <c r="I1" s="134"/>
      <c r="J1" s="134"/>
      <c r="K1" s="113"/>
      <c r="L1" s="113"/>
    </row>
    <row r="2" spans="1:12" ht="28.5" x14ac:dyDescent="0.45">
      <c r="A2" s="135" t="s">
        <v>8</v>
      </c>
      <c r="B2" s="111">
        <v>0.63</v>
      </c>
      <c r="C2" s="136"/>
      <c r="D2" s="136"/>
      <c r="E2" s="136"/>
      <c r="F2" s="136"/>
      <c r="G2" s="136"/>
      <c r="H2" s="137" t="s">
        <v>209</v>
      </c>
      <c r="I2" s="134"/>
      <c r="J2" s="134"/>
      <c r="K2" s="113"/>
      <c r="L2" s="113"/>
    </row>
    <row r="3" spans="1:12" x14ac:dyDescent="0.45">
      <c r="A3" s="135" t="s">
        <v>9</v>
      </c>
      <c r="B3" s="111">
        <v>0.04</v>
      </c>
      <c r="C3" s="136"/>
      <c r="D3" s="136"/>
      <c r="E3" s="136"/>
      <c r="F3" s="136"/>
      <c r="G3" s="136"/>
      <c r="H3" s="114" t="s">
        <v>210</v>
      </c>
      <c r="I3" s="134"/>
      <c r="J3" s="134"/>
      <c r="K3" s="113"/>
      <c r="L3" s="113"/>
    </row>
    <row r="4" spans="1:12" x14ac:dyDescent="0.45">
      <c r="A4" s="135" t="s">
        <v>10</v>
      </c>
      <c r="B4" s="111">
        <v>0.33</v>
      </c>
      <c r="C4" s="136"/>
      <c r="D4" s="136"/>
      <c r="E4" s="136"/>
      <c r="F4" s="136"/>
      <c r="G4" s="136"/>
      <c r="H4" s="138" t="s">
        <v>211</v>
      </c>
      <c r="I4" s="134"/>
      <c r="J4" s="134"/>
      <c r="K4" s="113"/>
      <c r="L4" s="113"/>
    </row>
    <row r="5" spans="1:12" x14ac:dyDescent="0.45">
      <c r="A5" s="135" t="s">
        <v>11</v>
      </c>
      <c r="B5" s="111">
        <v>0.11</v>
      </c>
      <c r="C5" s="136"/>
      <c r="D5" s="136"/>
      <c r="E5" s="136"/>
      <c r="F5" s="136"/>
      <c r="G5" s="136"/>
      <c r="H5" s="138" t="s">
        <v>212</v>
      </c>
      <c r="I5" s="134"/>
      <c r="J5" s="134"/>
      <c r="K5" s="113"/>
      <c r="L5" s="113"/>
    </row>
    <row r="6" spans="1:12" x14ac:dyDescent="0.45">
      <c r="A6" s="135" t="s">
        <v>12</v>
      </c>
      <c r="B6" s="111">
        <v>0.55000000000000004</v>
      </c>
      <c r="C6" s="136"/>
      <c r="D6" s="136"/>
      <c r="E6" s="136"/>
      <c r="F6" s="136"/>
      <c r="G6" s="136"/>
      <c r="H6" s="139" t="s">
        <v>213</v>
      </c>
      <c r="I6" s="134"/>
      <c r="J6" s="134"/>
      <c r="K6" s="113"/>
      <c r="L6" s="113"/>
    </row>
    <row r="7" spans="1:12" ht="26.25" x14ac:dyDescent="0.45">
      <c r="A7" s="135" t="s">
        <v>13</v>
      </c>
      <c r="B7" s="111">
        <v>0.62</v>
      </c>
      <c r="C7" s="136"/>
      <c r="D7" s="136"/>
      <c r="E7" s="136"/>
      <c r="F7" s="136"/>
      <c r="G7" s="136"/>
      <c r="H7" s="117" t="s">
        <v>214</v>
      </c>
      <c r="I7" s="113"/>
      <c r="J7" s="115"/>
      <c r="K7" s="113"/>
      <c r="L7" s="113"/>
    </row>
    <row r="8" spans="1:12" ht="26.25" x14ac:dyDescent="0.45">
      <c r="A8" s="135" t="s">
        <v>14</v>
      </c>
      <c r="B8" s="111">
        <v>0.69</v>
      </c>
      <c r="C8" s="136"/>
      <c r="D8" s="136"/>
      <c r="E8" s="136"/>
      <c r="F8" s="136"/>
      <c r="G8" s="136"/>
      <c r="H8" s="113"/>
      <c r="I8" s="113"/>
      <c r="J8" s="115"/>
      <c r="K8" s="113"/>
      <c r="L8" s="113"/>
    </row>
    <row r="9" spans="1:12" x14ac:dyDescent="0.45">
      <c r="A9" s="135" t="s">
        <v>15</v>
      </c>
      <c r="B9" s="111">
        <v>0.39</v>
      </c>
      <c r="C9" s="136"/>
      <c r="D9" s="136"/>
      <c r="E9" s="136"/>
      <c r="F9" s="136"/>
      <c r="G9" s="136"/>
      <c r="H9" s="113"/>
      <c r="I9" s="113"/>
      <c r="J9" s="115"/>
      <c r="K9" s="113"/>
      <c r="L9" s="113"/>
    </row>
    <row r="10" spans="1:12" x14ac:dyDescent="0.45">
      <c r="A10" s="135" t="s">
        <v>16</v>
      </c>
      <c r="B10" s="111">
        <v>0.14000000000000001</v>
      </c>
      <c r="C10" s="136"/>
      <c r="D10" s="136"/>
      <c r="E10" s="136"/>
      <c r="F10" s="136"/>
      <c r="G10" s="136"/>
      <c r="H10" s="140"/>
      <c r="I10" s="113"/>
      <c r="J10" s="115"/>
      <c r="K10" s="113"/>
      <c r="L10" s="113"/>
    </row>
    <row r="11" spans="1:12" x14ac:dyDescent="0.45">
      <c r="A11" s="135" t="s">
        <v>17</v>
      </c>
      <c r="B11" s="111">
        <v>0.56999999999999995</v>
      </c>
      <c r="C11" s="136"/>
      <c r="D11" s="136"/>
      <c r="E11" s="136"/>
      <c r="F11" s="136"/>
      <c r="G11" s="136"/>
      <c r="H11" s="113"/>
      <c r="I11" s="113"/>
      <c r="J11" s="115"/>
      <c r="K11" s="113"/>
      <c r="L11" s="113"/>
    </row>
    <row r="12" spans="1:12" x14ac:dyDescent="0.45">
      <c r="A12" s="135" t="s">
        <v>18</v>
      </c>
      <c r="B12" s="111">
        <v>0.08</v>
      </c>
      <c r="C12" s="136"/>
      <c r="D12" s="136"/>
      <c r="E12" s="136"/>
      <c r="F12" s="136"/>
      <c r="G12" s="136"/>
      <c r="H12" s="113"/>
      <c r="I12" s="113"/>
      <c r="J12" s="115"/>
      <c r="K12" s="113"/>
      <c r="L12" s="113"/>
    </row>
    <row r="13" spans="1:12" x14ac:dyDescent="0.45">
      <c r="A13" s="135" t="s">
        <v>19</v>
      </c>
      <c r="B13" s="111">
        <v>0.34</v>
      </c>
      <c r="C13" s="136"/>
      <c r="D13" s="136"/>
      <c r="E13" s="136"/>
      <c r="F13" s="136"/>
      <c r="G13" s="136"/>
      <c r="H13" s="113"/>
      <c r="I13" s="113"/>
      <c r="J13" s="115"/>
      <c r="K13" s="113"/>
      <c r="L13" s="113"/>
    </row>
    <row r="14" spans="1:12" x14ac:dyDescent="0.45">
      <c r="A14" s="135" t="s">
        <v>20</v>
      </c>
      <c r="B14" s="111">
        <v>0.12</v>
      </c>
      <c r="C14" s="136"/>
      <c r="D14" s="136"/>
      <c r="E14" s="136"/>
      <c r="F14" s="136"/>
      <c r="G14" s="136"/>
      <c r="H14" s="113"/>
      <c r="I14" s="113"/>
      <c r="J14" s="115"/>
      <c r="K14" s="113"/>
      <c r="L14" s="113"/>
    </row>
    <row r="15" spans="1:12" ht="26.25" x14ac:dyDescent="0.45">
      <c r="A15" s="135" t="s">
        <v>21</v>
      </c>
      <c r="B15" s="111">
        <v>0.44</v>
      </c>
      <c r="C15" s="136"/>
      <c r="D15" s="136"/>
      <c r="E15" s="136"/>
      <c r="F15" s="136"/>
      <c r="G15" s="136"/>
      <c r="H15" s="113"/>
      <c r="I15" s="113"/>
      <c r="J15" s="115"/>
      <c r="K15" s="113"/>
      <c r="L15" s="113"/>
    </row>
    <row r="16" spans="1:12" x14ac:dyDescent="0.45">
      <c r="A16" s="135" t="s">
        <v>22</v>
      </c>
      <c r="B16" s="111">
        <v>0.28999999999999998</v>
      </c>
      <c r="C16" s="136"/>
      <c r="D16" s="136"/>
      <c r="E16" s="136"/>
      <c r="F16" s="136"/>
      <c r="G16" s="136"/>
      <c r="H16" s="113"/>
      <c r="I16" s="113"/>
      <c r="J16" s="115"/>
      <c r="K16" s="113"/>
      <c r="L16" s="113"/>
    </row>
    <row r="17" spans="1:12" x14ac:dyDescent="0.45">
      <c r="A17" s="135" t="s">
        <v>23</v>
      </c>
      <c r="B17" s="111">
        <v>0.69</v>
      </c>
      <c r="C17" s="136"/>
      <c r="D17" s="136"/>
      <c r="E17" s="136"/>
      <c r="F17" s="136"/>
      <c r="G17" s="136"/>
      <c r="H17" s="113"/>
      <c r="I17" s="113"/>
      <c r="J17" s="115"/>
      <c r="K17" s="113"/>
      <c r="L17" s="113"/>
    </row>
    <row r="18" spans="1:12" x14ac:dyDescent="0.45">
      <c r="A18" s="135" t="s">
        <v>24</v>
      </c>
      <c r="B18" s="111">
        <v>0.42</v>
      </c>
      <c r="C18" s="136"/>
      <c r="D18" s="136"/>
      <c r="E18" s="136"/>
      <c r="F18" s="136"/>
      <c r="G18" s="136"/>
      <c r="H18" s="113"/>
      <c r="I18" s="113"/>
      <c r="J18" s="115"/>
      <c r="K18" s="113"/>
      <c r="L18" s="113"/>
    </row>
    <row r="19" spans="1:12" x14ac:dyDescent="0.45">
      <c r="A19" s="135" t="s">
        <v>25</v>
      </c>
      <c r="B19" s="111">
        <v>0.23</v>
      </c>
      <c r="C19" s="136"/>
      <c r="D19" s="136"/>
      <c r="E19" s="136"/>
      <c r="F19" s="136"/>
      <c r="G19" s="136"/>
      <c r="H19" s="113"/>
      <c r="I19" s="113"/>
      <c r="J19" s="115"/>
      <c r="K19" s="113"/>
      <c r="L19" s="113"/>
    </row>
    <row r="20" spans="1:12" x14ac:dyDescent="0.45">
      <c r="A20" s="135" t="s">
        <v>26</v>
      </c>
      <c r="B20" s="111">
        <v>0.47</v>
      </c>
      <c r="C20" s="136"/>
      <c r="D20" s="136"/>
      <c r="E20" s="136"/>
      <c r="F20" s="136"/>
      <c r="G20" s="136"/>
      <c r="H20" s="113"/>
      <c r="I20" s="113"/>
      <c r="J20" s="115"/>
      <c r="K20" s="113"/>
      <c r="L20" s="113"/>
    </row>
    <row r="21" spans="1:12" x14ac:dyDescent="0.45">
      <c r="A21" s="135" t="s">
        <v>27</v>
      </c>
      <c r="B21" s="111">
        <v>0.03</v>
      </c>
      <c r="C21" s="136"/>
      <c r="D21" s="136"/>
      <c r="E21" s="136"/>
      <c r="F21" s="136"/>
      <c r="G21" s="136"/>
      <c r="H21" s="113"/>
      <c r="I21" s="113"/>
      <c r="J21" s="115"/>
      <c r="K21" s="113"/>
      <c r="L21" s="113"/>
    </row>
    <row r="22" spans="1:12" x14ac:dyDescent="0.45">
      <c r="A22" s="135" t="s">
        <v>28</v>
      </c>
      <c r="B22" s="111">
        <v>0.05</v>
      </c>
      <c r="C22" s="136"/>
      <c r="D22" s="136"/>
      <c r="E22" s="136"/>
      <c r="F22" s="136"/>
      <c r="G22" s="136"/>
      <c r="H22" s="113"/>
      <c r="I22" s="113"/>
      <c r="J22" s="115"/>
      <c r="K22" s="113"/>
      <c r="L22" s="113"/>
    </row>
    <row r="23" spans="1:12" x14ac:dyDescent="0.45">
      <c r="A23" s="135" t="s">
        <v>29</v>
      </c>
      <c r="B23" s="111">
        <v>0.42</v>
      </c>
      <c r="C23" s="136"/>
      <c r="D23" s="136"/>
      <c r="E23" s="136"/>
      <c r="F23" s="136"/>
      <c r="G23" s="136"/>
      <c r="H23" s="113"/>
      <c r="I23" s="113"/>
      <c r="J23" s="115"/>
      <c r="K23" s="113"/>
      <c r="L23" s="113"/>
    </row>
    <row r="24" spans="1:12" x14ac:dyDescent="0.45">
      <c r="A24" s="135" t="s">
        <v>30</v>
      </c>
      <c r="B24" s="111">
        <v>0.48</v>
      </c>
      <c r="C24" s="136"/>
      <c r="D24" s="136"/>
      <c r="E24" s="136"/>
      <c r="F24" s="136"/>
      <c r="G24" s="136"/>
      <c r="H24" s="113"/>
      <c r="I24" s="113"/>
      <c r="J24" s="115"/>
      <c r="K24" s="113"/>
      <c r="L24" s="113"/>
    </row>
    <row r="25" spans="1:12" ht="26.25" x14ac:dyDescent="0.45">
      <c r="A25" s="135" t="s">
        <v>31</v>
      </c>
      <c r="B25" s="111">
        <v>0.31</v>
      </c>
      <c r="C25" s="136"/>
      <c r="D25" s="136"/>
      <c r="E25" s="136"/>
      <c r="F25" s="136"/>
      <c r="G25" s="136"/>
      <c r="H25" s="113"/>
      <c r="I25" s="113"/>
      <c r="J25" s="115"/>
      <c r="K25" s="113"/>
      <c r="L25" s="113"/>
    </row>
    <row r="26" spans="1:12" x14ac:dyDescent="0.45">
      <c r="A26" s="135" t="s">
        <v>32</v>
      </c>
      <c r="B26" s="111">
        <v>0.44</v>
      </c>
      <c r="C26" s="136"/>
      <c r="D26" s="136"/>
      <c r="E26" s="136"/>
      <c r="F26" s="136"/>
      <c r="G26" s="136"/>
      <c r="H26" s="113"/>
      <c r="I26" s="113"/>
      <c r="J26" s="115"/>
      <c r="K26" s="113"/>
      <c r="L26" s="113"/>
    </row>
    <row r="27" spans="1:12" x14ac:dyDescent="0.45">
      <c r="A27" s="135" t="s">
        <v>33</v>
      </c>
      <c r="B27" s="111">
        <v>0.39</v>
      </c>
      <c r="C27" s="136"/>
      <c r="D27" s="136"/>
      <c r="E27" s="136"/>
      <c r="F27" s="136"/>
      <c r="G27" s="136"/>
      <c r="H27" s="113"/>
      <c r="I27" s="113"/>
      <c r="J27" s="115"/>
      <c r="K27" s="113"/>
      <c r="L27" s="113"/>
    </row>
    <row r="28" spans="1:12" x14ac:dyDescent="0.45">
      <c r="A28" s="135" t="s">
        <v>34</v>
      </c>
      <c r="B28" s="111">
        <v>0.01</v>
      </c>
      <c r="C28" s="136"/>
      <c r="D28" s="136"/>
      <c r="E28" s="136"/>
      <c r="F28" s="136"/>
      <c r="G28" s="136"/>
      <c r="H28" s="113"/>
      <c r="I28" s="113"/>
      <c r="J28" s="115"/>
      <c r="K28" s="113"/>
      <c r="L28" s="113"/>
    </row>
    <row r="29" spans="1:12" x14ac:dyDescent="0.45">
      <c r="A29" s="135" t="s">
        <v>35</v>
      </c>
      <c r="B29" s="111">
        <v>0.63</v>
      </c>
      <c r="C29" s="136"/>
      <c r="D29" s="136"/>
      <c r="E29" s="136"/>
      <c r="F29" s="136"/>
      <c r="G29" s="136"/>
      <c r="H29" s="113"/>
      <c r="I29" s="113"/>
      <c r="J29" s="115"/>
      <c r="K29" s="113"/>
      <c r="L29" s="113"/>
    </row>
    <row r="30" spans="1:12" x14ac:dyDescent="0.45">
      <c r="A30" s="135" t="s">
        <v>36</v>
      </c>
      <c r="B30" s="111">
        <v>0.71</v>
      </c>
      <c r="C30" s="136"/>
      <c r="D30" s="136"/>
      <c r="E30" s="136"/>
      <c r="F30" s="136"/>
      <c r="G30" s="136"/>
      <c r="H30" s="113"/>
      <c r="I30" s="113"/>
      <c r="J30" s="115"/>
      <c r="K30" s="113"/>
      <c r="L30" s="113"/>
    </row>
    <row r="31" spans="1:12" x14ac:dyDescent="0.45">
      <c r="A31" s="135" t="s">
        <v>37</v>
      </c>
      <c r="B31" s="111">
        <v>0.61</v>
      </c>
      <c r="C31" s="136"/>
      <c r="D31" s="136"/>
      <c r="E31" s="136"/>
      <c r="F31" s="136"/>
      <c r="G31" s="136"/>
      <c r="H31" s="113"/>
      <c r="I31" s="113"/>
      <c r="J31" s="115"/>
      <c r="K31" s="113"/>
      <c r="L31" s="113"/>
    </row>
    <row r="32" spans="1:12" x14ac:dyDescent="0.45">
      <c r="A32" s="135" t="s">
        <v>215</v>
      </c>
      <c r="B32" s="111">
        <v>0.64</v>
      </c>
      <c r="C32" s="136"/>
      <c r="D32" s="136"/>
      <c r="E32" s="136"/>
      <c r="F32" s="136"/>
      <c r="G32" s="136"/>
      <c r="H32" s="113"/>
      <c r="I32" s="113"/>
      <c r="J32" s="115"/>
      <c r="K32" s="113"/>
      <c r="L32" s="113"/>
    </row>
    <row r="33" spans="1:12" x14ac:dyDescent="0.45">
      <c r="A33" s="135" t="s">
        <v>39</v>
      </c>
      <c r="B33" s="111">
        <v>0.3</v>
      </c>
      <c r="C33" s="136"/>
      <c r="D33" s="136"/>
      <c r="E33" s="136"/>
      <c r="F33" s="136"/>
      <c r="G33" s="136"/>
      <c r="H33" s="113"/>
      <c r="I33" s="113"/>
      <c r="J33" s="115"/>
      <c r="K33" s="113"/>
      <c r="L33" s="113"/>
    </row>
    <row r="34" spans="1:12" x14ac:dyDescent="0.45">
      <c r="A34" s="135" t="s">
        <v>40</v>
      </c>
      <c r="B34" s="111">
        <v>0.46</v>
      </c>
      <c r="C34" s="136"/>
      <c r="D34" s="136"/>
      <c r="E34" s="136"/>
      <c r="F34" s="136"/>
      <c r="G34" s="136"/>
      <c r="H34" s="113"/>
      <c r="I34" s="113"/>
      <c r="J34" s="115"/>
      <c r="K34" s="113"/>
      <c r="L34" s="113"/>
    </row>
    <row r="35" spans="1:12" x14ac:dyDescent="0.45">
      <c r="A35" s="135" t="s">
        <v>41</v>
      </c>
      <c r="B35" s="111">
        <v>0.25</v>
      </c>
      <c r="C35" s="136"/>
      <c r="D35" s="136"/>
      <c r="E35" s="136"/>
      <c r="F35" s="136"/>
      <c r="G35" s="136"/>
      <c r="H35" s="113"/>
      <c r="I35" s="113"/>
      <c r="J35" s="115"/>
      <c r="K35" s="113"/>
      <c r="L35" s="113"/>
    </row>
    <row r="36" spans="1:12" x14ac:dyDescent="0.45">
      <c r="A36" s="135" t="s">
        <v>42</v>
      </c>
      <c r="B36" s="111">
        <v>0.39</v>
      </c>
      <c r="C36" s="136"/>
      <c r="D36" s="136"/>
      <c r="E36" s="136"/>
      <c r="F36" s="136"/>
      <c r="G36" s="136"/>
      <c r="H36" s="113"/>
      <c r="I36" s="113"/>
      <c r="J36" s="115"/>
      <c r="K36" s="113"/>
      <c r="L36" s="113"/>
    </row>
    <row r="37" spans="1:12" x14ac:dyDescent="0.45">
      <c r="A37" s="135" t="s">
        <v>43</v>
      </c>
      <c r="B37" s="111">
        <v>0.67</v>
      </c>
      <c r="C37" s="136"/>
      <c r="D37" s="136"/>
      <c r="E37" s="136"/>
      <c r="F37" s="136"/>
      <c r="G37" s="136"/>
      <c r="H37" s="113"/>
      <c r="I37" s="113"/>
      <c r="J37" s="115"/>
      <c r="K37" s="113"/>
      <c r="L37" s="113"/>
    </row>
    <row r="38" spans="1:12" ht="26.25" x14ac:dyDescent="0.45">
      <c r="A38" s="135" t="s">
        <v>44</v>
      </c>
      <c r="B38" s="111">
        <v>0.71</v>
      </c>
      <c r="C38" s="136"/>
      <c r="D38" s="136"/>
      <c r="E38" s="136"/>
      <c r="F38" s="136"/>
      <c r="G38" s="136"/>
      <c r="H38" s="113"/>
      <c r="I38" s="113"/>
      <c r="J38" s="115"/>
      <c r="K38" s="113"/>
      <c r="L38" s="113"/>
    </row>
    <row r="39" spans="1:12" ht="26.25" x14ac:dyDescent="0.45">
      <c r="A39" s="135" t="s">
        <v>216</v>
      </c>
      <c r="B39" s="111">
        <v>0.12</v>
      </c>
      <c r="C39" s="136"/>
      <c r="D39" s="136"/>
      <c r="E39" s="136"/>
      <c r="F39" s="136"/>
      <c r="G39" s="136"/>
      <c r="H39" s="113"/>
      <c r="I39" s="113"/>
      <c r="J39" s="115"/>
      <c r="K39" s="113"/>
      <c r="L39" s="113"/>
    </row>
    <row r="40" spans="1:12" x14ac:dyDescent="0.45">
      <c r="A40" s="135" t="s">
        <v>46</v>
      </c>
      <c r="B40" s="111">
        <v>0.28000000000000003</v>
      </c>
      <c r="C40" s="136"/>
      <c r="D40" s="136"/>
      <c r="E40" s="136"/>
      <c r="F40" s="136"/>
      <c r="G40" s="136"/>
      <c r="H40" s="113"/>
      <c r="I40" s="113"/>
      <c r="J40" s="115"/>
      <c r="K40" s="113"/>
      <c r="L40" s="113"/>
    </row>
    <row r="41" spans="1:12" x14ac:dyDescent="0.45">
      <c r="A41" s="135" t="s">
        <v>47</v>
      </c>
      <c r="B41" s="111">
        <v>0.72</v>
      </c>
      <c r="C41" s="136"/>
      <c r="D41" s="136"/>
      <c r="E41" s="136"/>
      <c r="F41" s="136"/>
      <c r="G41" s="136"/>
      <c r="H41" s="113"/>
      <c r="I41" s="113"/>
      <c r="J41" s="115"/>
      <c r="K41" s="113"/>
      <c r="L41" s="113"/>
    </row>
    <row r="42" spans="1:12" x14ac:dyDescent="0.45">
      <c r="A42" s="135" t="s">
        <v>48</v>
      </c>
      <c r="B42" s="111">
        <v>0.64</v>
      </c>
      <c r="C42" s="136"/>
      <c r="D42" s="136"/>
      <c r="E42" s="136"/>
      <c r="F42" s="136"/>
      <c r="G42" s="136"/>
      <c r="H42" s="113"/>
      <c r="I42" s="113"/>
      <c r="J42" s="115"/>
      <c r="K42" s="113"/>
      <c r="L42" s="113"/>
    </row>
    <row r="43" spans="1:12" x14ac:dyDescent="0.45">
      <c r="A43" s="135" t="s">
        <v>49</v>
      </c>
      <c r="B43" s="111">
        <v>0.45</v>
      </c>
      <c r="C43" s="136"/>
      <c r="D43" s="136"/>
      <c r="E43" s="136"/>
      <c r="F43" s="136"/>
      <c r="G43" s="136"/>
      <c r="H43" s="113"/>
      <c r="I43" s="113"/>
      <c r="J43" s="115"/>
      <c r="K43" s="113"/>
      <c r="L43" s="113"/>
    </row>
    <row r="44" spans="1:12" x14ac:dyDescent="0.45">
      <c r="A44" s="135" t="s">
        <v>50</v>
      </c>
      <c r="B44" s="111">
        <v>0.55000000000000004</v>
      </c>
      <c r="C44" s="136"/>
      <c r="D44" s="136"/>
      <c r="E44" s="136"/>
      <c r="F44" s="136"/>
      <c r="G44" s="136"/>
      <c r="H44" s="113"/>
      <c r="I44" s="113"/>
      <c r="J44" s="115"/>
      <c r="K44" s="113"/>
      <c r="L44" s="113"/>
    </row>
    <row r="45" spans="1:12" ht="26.25" x14ac:dyDescent="0.45">
      <c r="A45" s="135" t="s">
        <v>51</v>
      </c>
      <c r="B45" s="111">
        <v>0.08</v>
      </c>
      <c r="C45" s="136"/>
      <c r="D45" s="136"/>
      <c r="E45" s="136"/>
      <c r="F45" s="136"/>
      <c r="G45" s="136"/>
      <c r="H45" s="113"/>
      <c r="I45" s="113"/>
      <c r="J45" s="115"/>
      <c r="K45" s="113"/>
      <c r="L45" s="113"/>
    </row>
    <row r="46" spans="1:12" x14ac:dyDescent="0.45">
      <c r="A46" s="135" t="s">
        <v>52</v>
      </c>
      <c r="B46" s="111">
        <v>0.54</v>
      </c>
      <c r="C46" s="136"/>
      <c r="D46" s="136"/>
      <c r="E46" s="136"/>
      <c r="F46" s="136"/>
      <c r="G46" s="136"/>
      <c r="H46" s="113"/>
      <c r="I46" s="113"/>
      <c r="J46" s="115"/>
      <c r="K46" s="113"/>
      <c r="L46" s="113"/>
    </row>
    <row r="47" spans="1:12" x14ac:dyDescent="0.45">
      <c r="A47" s="135" t="s">
        <v>54</v>
      </c>
      <c r="B47" s="111">
        <v>0.4</v>
      </c>
      <c r="C47" s="136"/>
      <c r="D47" s="136"/>
      <c r="E47" s="136"/>
      <c r="F47" s="136"/>
      <c r="G47" s="136"/>
      <c r="H47" s="113"/>
      <c r="I47" s="113"/>
      <c r="J47" s="115"/>
      <c r="K47" s="113"/>
      <c r="L47" s="113"/>
    </row>
    <row r="48" spans="1:12" ht="26.25" x14ac:dyDescent="0.45">
      <c r="A48" s="135" t="s">
        <v>55</v>
      </c>
      <c r="B48" s="111">
        <v>0.11</v>
      </c>
      <c r="C48" s="136"/>
      <c r="D48" s="136"/>
      <c r="E48" s="136"/>
      <c r="F48" s="136"/>
      <c r="G48" s="136"/>
      <c r="H48" s="113"/>
      <c r="I48" s="113"/>
      <c r="J48" s="115"/>
      <c r="K48" s="113"/>
      <c r="L48" s="113"/>
    </row>
    <row r="49" spans="1:12" ht="26.25" x14ac:dyDescent="0.45">
      <c r="A49" s="135" t="s">
        <v>56</v>
      </c>
      <c r="B49" s="111">
        <v>0.03</v>
      </c>
      <c r="C49" s="136"/>
      <c r="D49" s="136"/>
      <c r="E49" s="136"/>
      <c r="F49" s="136"/>
      <c r="G49" s="136"/>
      <c r="H49" s="113"/>
      <c r="I49" s="113"/>
      <c r="J49" s="115"/>
      <c r="K49" s="113"/>
      <c r="L49" s="113"/>
    </row>
    <row r="50" spans="1:12" x14ac:dyDescent="0.45">
      <c r="A50" s="135" t="s">
        <v>57</v>
      </c>
      <c r="B50" s="111">
        <v>0.51</v>
      </c>
      <c r="C50" s="136"/>
      <c r="D50" s="136"/>
      <c r="E50" s="136"/>
      <c r="F50" s="136"/>
      <c r="G50" s="136"/>
      <c r="H50" s="113"/>
      <c r="I50" s="113"/>
      <c r="J50" s="115"/>
      <c r="K50" s="113"/>
      <c r="L50" s="113"/>
    </row>
    <row r="51" spans="1:12" x14ac:dyDescent="0.45">
      <c r="A51" s="135" t="s">
        <v>58</v>
      </c>
      <c r="B51" s="111">
        <v>0.06</v>
      </c>
      <c r="C51" s="136"/>
      <c r="D51" s="136"/>
      <c r="E51" s="136"/>
      <c r="F51" s="136"/>
      <c r="G51" s="136"/>
      <c r="H51" s="113"/>
      <c r="I51" s="113"/>
      <c r="J51" s="115"/>
      <c r="K51" s="113"/>
      <c r="L51" s="113"/>
    </row>
    <row r="52" spans="1:12" x14ac:dyDescent="0.45">
      <c r="A52" s="135" t="s">
        <v>59</v>
      </c>
      <c r="B52" s="111">
        <v>0.02</v>
      </c>
      <c r="C52" s="136"/>
      <c r="D52" s="136"/>
      <c r="E52" s="136"/>
      <c r="F52" s="136"/>
      <c r="G52" s="136"/>
      <c r="H52" s="113"/>
      <c r="I52" s="113"/>
      <c r="J52" s="115"/>
      <c r="K52" s="113"/>
      <c r="L52" s="113"/>
    </row>
    <row r="53" spans="1:12" x14ac:dyDescent="0.45">
      <c r="A53" s="135" t="s">
        <v>60</v>
      </c>
      <c r="B53" s="111">
        <v>0.65</v>
      </c>
      <c r="C53" s="136"/>
      <c r="D53" s="136"/>
      <c r="E53" s="136"/>
      <c r="F53" s="136"/>
      <c r="G53" s="136"/>
      <c r="H53" s="113"/>
      <c r="I53" s="113"/>
      <c r="J53" s="115"/>
      <c r="K53" s="113"/>
      <c r="L53" s="113"/>
    </row>
    <row r="54" spans="1:12" x14ac:dyDescent="0.45">
      <c r="A54" s="135" t="s">
        <v>61</v>
      </c>
      <c r="B54" s="111">
        <v>0.51</v>
      </c>
      <c r="C54" s="136"/>
      <c r="D54" s="136"/>
      <c r="E54" s="136"/>
      <c r="F54" s="136"/>
      <c r="G54" s="136"/>
      <c r="H54" s="113"/>
      <c r="I54" s="113"/>
      <c r="J54" s="115"/>
      <c r="K54" s="113"/>
      <c r="L54" s="113"/>
    </row>
    <row r="55" spans="1:12" ht="26.25" x14ac:dyDescent="0.45">
      <c r="A55" s="135" t="s">
        <v>62</v>
      </c>
      <c r="B55" s="111">
        <v>0.52</v>
      </c>
      <c r="C55" s="136"/>
      <c r="D55" s="136"/>
      <c r="E55" s="136"/>
      <c r="F55" s="136"/>
      <c r="G55" s="136"/>
      <c r="H55" s="113"/>
      <c r="I55" s="113"/>
      <c r="J55" s="115"/>
      <c r="K55" s="113"/>
      <c r="L55" s="113"/>
    </row>
    <row r="56" spans="1:12" x14ac:dyDescent="0.45">
      <c r="A56" s="135" t="s">
        <v>63</v>
      </c>
      <c r="B56" s="111">
        <v>0.28999999999999998</v>
      </c>
      <c r="C56" s="136"/>
      <c r="D56" s="136"/>
      <c r="E56" s="136"/>
      <c r="F56" s="136"/>
      <c r="G56" s="136"/>
      <c r="H56" s="113"/>
      <c r="I56" s="113"/>
      <c r="J56" s="115"/>
      <c r="K56" s="113"/>
      <c r="L56" s="113"/>
    </row>
    <row r="57" spans="1:12" x14ac:dyDescent="0.45">
      <c r="A57" s="135" t="s">
        <v>64</v>
      </c>
      <c r="B57" s="111">
        <v>0.26</v>
      </c>
      <c r="C57" s="136"/>
      <c r="D57" s="136"/>
      <c r="E57" s="136"/>
      <c r="F57" s="136"/>
      <c r="G57" s="136"/>
      <c r="H57" s="113"/>
      <c r="I57" s="113"/>
      <c r="J57" s="115"/>
      <c r="K57" s="113"/>
      <c r="L57" s="113"/>
    </row>
    <row r="58" spans="1:12" x14ac:dyDescent="0.45">
      <c r="A58" s="135" t="s">
        <v>65</v>
      </c>
      <c r="B58" s="111">
        <v>0.7</v>
      </c>
      <c r="C58" s="136"/>
      <c r="D58" s="136"/>
      <c r="E58" s="136"/>
      <c r="F58" s="136"/>
      <c r="G58" s="136"/>
      <c r="H58" s="113"/>
      <c r="I58" s="113"/>
      <c r="J58" s="115"/>
      <c r="K58" s="113"/>
      <c r="L58" s="113"/>
    </row>
    <row r="59" spans="1:12" x14ac:dyDescent="0.45">
      <c r="A59" s="135" t="s">
        <v>66</v>
      </c>
      <c r="B59" s="111">
        <v>0.6</v>
      </c>
      <c r="C59" s="136"/>
      <c r="D59" s="136"/>
      <c r="E59" s="136"/>
      <c r="F59" s="136"/>
      <c r="G59" s="136"/>
      <c r="H59" s="113"/>
      <c r="I59" s="113"/>
      <c r="J59" s="115"/>
      <c r="K59" s="113"/>
      <c r="L59" s="113"/>
    </row>
    <row r="60" spans="1:12" x14ac:dyDescent="0.45">
      <c r="A60" s="135" t="s">
        <v>67</v>
      </c>
      <c r="B60" s="111">
        <v>0.33</v>
      </c>
      <c r="C60" s="136"/>
      <c r="D60" s="136"/>
      <c r="E60" s="136"/>
      <c r="F60" s="136"/>
      <c r="G60" s="136"/>
      <c r="H60" s="113"/>
      <c r="I60" s="113"/>
      <c r="J60" s="115"/>
      <c r="K60" s="113"/>
      <c r="L60" s="113"/>
    </row>
    <row r="61" spans="1:12" x14ac:dyDescent="0.45">
      <c r="A61" s="135" t="s">
        <v>68</v>
      </c>
      <c r="B61" s="111">
        <v>0.34</v>
      </c>
      <c r="C61" s="136"/>
      <c r="D61" s="136"/>
      <c r="E61" s="136"/>
      <c r="F61" s="136"/>
      <c r="G61" s="136"/>
      <c r="H61" s="113"/>
      <c r="I61" s="113"/>
      <c r="J61" s="115"/>
      <c r="K61" s="113"/>
      <c r="L61" s="113"/>
    </row>
    <row r="62" spans="1:12" ht="26.25" x14ac:dyDescent="0.45">
      <c r="A62" s="135" t="s">
        <v>69</v>
      </c>
      <c r="B62" s="111">
        <v>0.62</v>
      </c>
      <c r="C62" s="136"/>
      <c r="D62" s="136"/>
      <c r="E62" s="136"/>
      <c r="F62" s="136"/>
      <c r="G62" s="136"/>
      <c r="H62" s="113"/>
      <c r="I62" s="113"/>
      <c r="J62" s="115"/>
      <c r="K62" s="113"/>
      <c r="L62" s="113"/>
    </row>
    <row r="63" spans="1:12" x14ac:dyDescent="0.45">
      <c r="A63" s="135" t="s">
        <v>70</v>
      </c>
      <c r="B63" s="111">
        <v>0.39</v>
      </c>
      <c r="C63" s="136"/>
      <c r="D63" s="136"/>
      <c r="E63" s="136"/>
      <c r="F63" s="136"/>
      <c r="G63" s="136"/>
      <c r="H63" s="113"/>
      <c r="I63" s="113"/>
      <c r="J63" s="115"/>
      <c r="K63" s="113"/>
      <c r="L63" s="113"/>
    </row>
    <row r="64" spans="1:12" x14ac:dyDescent="0.45">
      <c r="A64" s="135" t="s">
        <v>71</v>
      </c>
      <c r="B64" s="111">
        <v>0.42</v>
      </c>
      <c r="C64" s="136"/>
      <c r="D64" s="136"/>
      <c r="E64" s="136"/>
      <c r="F64" s="136"/>
      <c r="G64" s="136"/>
      <c r="H64" s="113"/>
      <c r="I64" s="113"/>
      <c r="J64" s="115"/>
      <c r="K64" s="113"/>
      <c r="L64" s="113"/>
    </row>
    <row r="65" spans="1:12" x14ac:dyDescent="0.45">
      <c r="A65" s="135" t="s">
        <v>72</v>
      </c>
      <c r="B65" s="111">
        <v>0.2</v>
      </c>
      <c r="C65" s="136"/>
      <c r="D65" s="136"/>
      <c r="E65" s="136"/>
      <c r="F65" s="136"/>
      <c r="G65" s="136"/>
      <c r="H65" s="113"/>
      <c r="I65" s="113"/>
      <c r="J65" s="115"/>
      <c r="K65" s="113"/>
      <c r="L65" s="113"/>
    </row>
    <row r="66" spans="1:12" x14ac:dyDescent="0.45">
      <c r="A66" s="135" t="s">
        <v>73</v>
      </c>
      <c r="B66" s="111">
        <v>0.47</v>
      </c>
      <c r="C66" s="136"/>
      <c r="D66" s="136"/>
      <c r="E66" s="136"/>
      <c r="F66" s="136"/>
      <c r="G66" s="136"/>
      <c r="H66" s="113"/>
      <c r="I66" s="113"/>
      <c r="J66" s="115"/>
      <c r="K66" s="113"/>
      <c r="L66" s="113"/>
    </row>
    <row r="67" spans="1:12" ht="26.25" x14ac:dyDescent="0.45">
      <c r="A67" s="135" t="s">
        <v>74</v>
      </c>
      <c r="B67" s="111">
        <v>0.5</v>
      </c>
      <c r="C67" s="136"/>
      <c r="D67" s="136"/>
      <c r="E67" s="136"/>
      <c r="F67" s="136"/>
      <c r="G67" s="136"/>
      <c r="H67" s="113"/>
      <c r="I67" s="113"/>
      <c r="J67" s="115"/>
      <c r="K67" s="113"/>
      <c r="L67" s="113"/>
    </row>
    <row r="68" spans="1:12" x14ac:dyDescent="0.45">
      <c r="A68" s="135" t="s">
        <v>75</v>
      </c>
      <c r="B68" s="111">
        <v>0.25</v>
      </c>
      <c r="C68" s="136"/>
      <c r="D68" s="136"/>
      <c r="E68" s="136"/>
      <c r="F68" s="136"/>
      <c r="G68" s="136"/>
      <c r="H68" s="113"/>
      <c r="I68" s="113"/>
      <c r="J68" s="115"/>
      <c r="K68" s="113"/>
      <c r="L68" s="113"/>
    </row>
    <row r="69" spans="1:12" x14ac:dyDescent="0.45">
      <c r="A69" s="135" t="s">
        <v>217</v>
      </c>
      <c r="B69" s="111">
        <v>0.72</v>
      </c>
      <c r="C69" s="136"/>
      <c r="D69" s="136"/>
      <c r="E69" s="136"/>
      <c r="F69" s="136"/>
      <c r="G69" s="136"/>
      <c r="H69" s="113"/>
      <c r="I69" s="113"/>
      <c r="J69" s="115"/>
      <c r="K69" s="113"/>
      <c r="L69" s="113"/>
    </row>
    <row r="70" spans="1:12" ht="26.25" x14ac:dyDescent="0.45">
      <c r="A70" s="135" t="s">
        <v>77</v>
      </c>
      <c r="B70" s="111">
        <v>0.74</v>
      </c>
      <c r="C70" s="136"/>
      <c r="D70" s="136"/>
      <c r="E70" s="136"/>
      <c r="F70" s="136"/>
      <c r="G70" s="136"/>
      <c r="H70" s="113"/>
      <c r="I70" s="113"/>
      <c r="J70" s="115"/>
      <c r="K70" s="113"/>
      <c r="L70" s="113"/>
    </row>
    <row r="71" spans="1:12" x14ac:dyDescent="0.45">
      <c r="A71" s="135" t="s">
        <v>78</v>
      </c>
      <c r="B71" s="111">
        <v>0.17</v>
      </c>
      <c r="C71" s="136" t="s">
        <v>234</v>
      </c>
      <c r="D71" s="136"/>
      <c r="E71" s="136"/>
      <c r="F71" s="136"/>
      <c r="G71" s="136"/>
      <c r="H71" s="113"/>
      <c r="I71" s="113"/>
      <c r="J71" s="115"/>
      <c r="K71" s="113"/>
      <c r="L71" s="113"/>
    </row>
    <row r="72" spans="1:12" x14ac:dyDescent="0.45">
      <c r="A72" s="135" t="s">
        <v>79</v>
      </c>
      <c r="B72" s="111">
        <v>0.02</v>
      </c>
      <c r="C72" s="136"/>
      <c r="D72" s="136"/>
      <c r="E72" s="136"/>
      <c r="F72" s="136"/>
      <c r="G72" s="136"/>
      <c r="H72" s="113"/>
      <c r="I72" s="113"/>
      <c r="J72" s="115"/>
      <c r="K72" s="113"/>
      <c r="L72" s="113"/>
    </row>
    <row r="73" spans="1:12" ht="26.25" x14ac:dyDescent="0.45">
      <c r="A73" s="135" t="s">
        <v>80</v>
      </c>
      <c r="B73" s="111">
        <v>0.03</v>
      </c>
      <c r="C73" s="136"/>
      <c r="D73" s="136"/>
      <c r="E73" s="136"/>
      <c r="F73" s="136"/>
      <c r="G73" s="136"/>
      <c r="H73" s="113"/>
      <c r="I73" s="113"/>
      <c r="J73" s="115"/>
      <c r="K73" s="113"/>
      <c r="L73" s="113"/>
    </row>
    <row r="74" spans="1:12" x14ac:dyDescent="0.45">
      <c r="A74" s="135" t="s">
        <v>81</v>
      </c>
      <c r="B74" s="111">
        <v>0.55000000000000004</v>
      </c>
      <c r="C74" s="136"/>
      <c r="D74" s="136"/>
      <c r="E74" s="136"/>
      <c r="F74" s="136"/>
      <c r="G74" s="136"/>
      <c r="H74" s="113"/>
      <c r="I74" s="113"/>
      <c r="J74" s="115"/>
      <c r="K74" s="113"/>
      <c r="L74" s="113"/>
    </row>
    <row r="75" spans="1:12" x14ac:dyDescent="0.45">
      <c r="A75" s="135" t="s">
        <v>82</v>
      </c>
      <c r="B75" s="111">
        <v>0.42</v>
      </c>
      <c r="C75" s="136"/>
      <c r="D75" s="136"/>
      <c r="E75" s="136"/>
      <c r="F75" s="136"/>
      <c r="G75" s="136"/>
      <c r="H75" s="113"/>
      <c r="I75" s="113"/>
      <c r="J75" s="115"/>
      <c r="K75" s="113"/>
      <c r="L75" s="113"/>
    </row>
    <row r="76" spans="1:12" x14ac:dyDescent="0.45">
      <c r="A76" s="135" t="s">
        <v>83</v>
      </c>
      <c r="B76" s="111">
        <v>0.56999999999999995</v>
      </c>
      <c r="C76" s="136"/>
      <c r="D76" s="136"/>
      <c r="E76" s="136"/>
      <c r="F76" s="136"/>
      <c r="G76" s="136"/>
      <c r="H76" s="113"/>
      <c r="I76" s="113"/>
      <c r="J76" s="115"/>
      <c r="K76" s="113"/>
      <c r="L76" s="113"/>
    </row>
    <row r="77" spans="1:12" x14ac:dyDescent="0.45">
      <c r="A77" s="135" t="s">
        <v>84</v>
      </c>
      <c r="B77" s="111">
        <v>0.41</v>
      </c>
      <c r="C77" s="136"/>
      <c r="D77" s="136"/>
      <c r="E77" s="136"/>
      <c r="F77" s="136"/>
      <c r="G77" s="136"/>
      <c r="H77" s="113"/>
      <c r="I77" s="113"/>
      <c r="J77" s="115"/>
      <c r="K77" s="113"/>
      <c r="L77" s="113"/>
    </row>
    <row r="78" spans="1:12" ht="26.25" x14ac:dyDescent="0.45">
      <c r="A78" s="135" t="s">
        <v>85</v>
      </c>
      <c r="B78" s="111">
        <v>0.2</v>
      </c>
      <c r="C78" s="136"/>
      <c r="D78" s="136"/>
      <c r="E78" s="136"/>
      <c r="F78" s="136"/>
      <c r="G78" s="136"/>
      <c r="H78" s="113"/>
      <c r="I78" s="113"/>
      <c r="J78" s="115"/>
      <c r="K78" s="113"/>
      <c r="L78" s="113"/>
    </row>
    <row r="79" spans="1:12" x14ac:dyDescent="0.45">
      <c r="A79" s="135" t="s">
        <v>86</v>
      </c>
      <c r="B79" s="111">
        <v>0.09</v>
      </c>
      <c r="C79" s="136"/>
      <c r="D79" s="136"/>
      <c r="E79" s="136"/>
      <c r="F79" s="136"/>
      <c r="G79" s="136"/>
      <c r="H79" s="113"/>
      <c r="I79" s="113"/>
      <c r="J79" s="115"/>
      <c r="K79" s="113"/>
      <c r="L79" s="113"/>
    </row>
    <row r="80" spans="1:12" ht="26.25" x14ac:dyDescent="0.45">
      <c r="A80" s="135" t="s">
        <v>87</v>
      </c>
      <c r="B80" s="111">
        <v>0.65</v>
      </c>
      <c r="C80" s="136"/>
      <c r="D80" s="136"/>
      <c r="E80" s="136"/>
      <c r="F80" s="136"/>
      <c r="G80" s="136"/>
      <c r="H80" s="113"/>
      <c r="I80" s="113"/>
      <c r="J80" s="115"/>
      <c r="K80" s="113"/>
      <c r="L80" s="113"/>
    </row>
    <row r="81" spans="1:12" x14ac:dyDescent="0.45">
      <c r="A81" s="135" t="s">
        <v>218</v>
      </c>
      <c r="B81" s="111">
        <v>0.63</v>
      </c>
      <c r="C81" s="136"/>
      <c r="D81" s="136"/>
      <c r="E81" s="136"/>
      <c r="F81" s="136"/>
      <c r="G81" s="136"/>
      <c r="H81" s="113"/>
      <c r="I81" s="113"/>
      <c r="J81" s="115"/>
      <c r="K81" s="113"/>
      <c r="L81" s="113"/>
    </row>
    <row r="82" spans="1:12" x14ac:dyDescent="0.45">
      <c r="A82" s="135" t="s">
        <v>219</v>
      </c>
      <c r="B82" s="111">
        <v>0.38</v>
      </c>
      <c r="C82" s="136"/>
      <c r="D82" s="136"/>
      <c r="E82" s="136"/>
      <c r="F82" s="136"/>
      <c r="G82" s="136"/>
      <c r="H82" s="113"/>
      <c r="I82" s="113"/>
      <c r="J82" s="115"/>
      <c r="K82" s="113"/>
      <c r="L82" s="113"/>
    </row>
    <row r="83" spans="1:12" x14ac:dyDescent="0.45">
      <c r="A83" s="135" t="s">
        <v>90</v>
      </c>
      <c r="B83" s="111">
        <v>0.64</v>
      </c>
      <c r="C83" s="136"/>
      <c r="D83" s="136"/>
      <c r="E83" s="136"/>
      <c r="F83" s="136"/>
      <c r="G83" s="136"/>
      <c r="H83" s="113"/>
      <c r="I83" s="113"/>
      <c r="J83" s="115"/>
      <c r="K83" s="113"/>
      <c r="L83" s="113"/>
    </row>
    <row r="84" spans="1:12" x14ac:dyDescent="0.45">
      <c r="A84" s="113"/>
      <c r="B84" s="113"/>
      <c r="C84" s="113"/>
      <c r="D84" s="113"/>
      <c r="E84" s="113"/>
      <c r="F84" s="113"/>
      <c r="G84" s="113"/>
      <c r="H84" s="113"/>
      <c r="I84" s="115"/>
      <c r="J84" s="115"/>
      <c r="K84" s="113"/>
      <c r="L84" s="113"/>
    </row>
    <row r="85" spans="1:12" x14ac:dyDescent="0.45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</row>
    <row r="86" spans="1:12" x14ac:dyDescent="0.45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</row>
    <row r="87" spans="1:12" x14ac:dyDescent="0.45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</row>
    <row r="88" spans="1:12" x14ac:dyDescent="0.45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</row>
    <row r="89" spans="1:12" x14ac:dyDescent="0.45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</row>
    <row r="90" spans="1:12" x14ac:dyDescent="0.45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</row>
    <row r="91" spans="1:12" x14ac:dyDescent="0.45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</row>
    <row r="92" spans="1:12" x14ac:dyDescent="0.45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</row>
    <row r="93" spans="1:12" x14ac:dyDescent="0.45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</row>
    <row r="94" spans="1:12" x14ac:dyDescent="0.45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</row>
    <row r="95" spans="1:12" x14ac:dyDescent="0.45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</row>
    <row r="96" spans="1:12" x14ac:dyDescent="0.45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</row>
    <row r="97" spans="1:12" x14ac:dyDescent="0.45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</row>
    <row r="98" spans="1:12" x14ac:dyDescent="0.45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</row>
    <row r="99" spans="1:12" x14ac:dyDescent="0.45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</row>
    <row r="100" spans="1:12" x14ac:dyDescent="0.45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</row>
    <row r="101" spans="1:12" x14ac:dyDescent="0.45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</row>
    <row r="102" spans="1:12" x14ac:dyDescent="0.45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</row>
    <row r="103" spans="1:12" x14ac:dyDescent="0.45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</row>
    <row r="104" spans="1:12" x14ac:dyDescent="0.45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</row>
    <row r="105" spans="1:12" x14ac:dyDescent="0.45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</row>
    <row r="106" spans="1:12" x14ac:dyDescent="0.45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</row>
    <row r="107" spans="1:12" x14ac:dyDescent="0.45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</row>
    <row r="108" spans="1:12" x14ac:dyDescent="0.45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</row>
    <row r="109" spans="1:12" x14ac:dyDescent="0.45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</row>
    <row r="110" spans="1:12" x14ac:dyDescent="0.45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</row>
    <row r="111" spans="1:12" x14ac:dyDescent="0.45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</row>
    <row r="112" spans="1:12" x14ac:dyDescent="0.45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</row>
    <row r="113" spans="1:12" x14ac:dyDescent="0.45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</row>
    <row r="114" spans="1:12" x14ac:dyDescent="0.45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</row>
    <row r="115" spans="1:12" x14ac:dyDescent="0.45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</row>
    <row r="116" spans="1:12" x14ac:dyDescent="0.45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</row>
    <row r="117" spans="1:12" x14ac:dyDescent="0.45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</row>
    <row r="118" spans="1:12" x14ac:dyDescent="0.45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</row>
    <row r="119" spans="1:12" x14ac:dyDescent="0.45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</row>
    <row r="120" spans="1:12" x14ac:dyDescent="0.45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</row>
    <row r="121" spans="1:12" x14ac:dyDescent="0.45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</row>
    <row r="122" spans="1:12" x14ac:dyDescent="0.45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</row>
    <row r="123" spans="1:12" x14ac:dyDescent="0.45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</row>
    <row r="124" spans="1:12" x14ac:dyDescent="0.45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</row>
    <row r="125" spans="1:12" x14ac:dyDescent="0.45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</row>
    <row r="126" spans="1:12" x14ac:dyDescent="0.45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</row>
    <row r="127" spans="1:12" x14ac:dyDescent="0.45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</row>
    <row r="128" spans="1:12" x14ac:dyDescent="0.45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</row>
    <row r="129" spans="1:12" x14ac:dyDescent="0.45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</row>
    <row r="130" spans="1:12" x14ac:dyDescent="0.45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</row>
    <row r="131" spans="1:12" x14ac:dyDescent="0.45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</row>
    <row r="132" spans="1:12" x14ac:dyDescent="0.45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</row>
    <row r="133" spans="1:12" x14ac:dyDescent="0.45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</row>
    <row r="134" spans="1:12" x14ac:dyDescent="0.45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</row>
    <row r="135" spans="1:12" x14ac:dyDescent="0.45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</row>
    <row r="136" spans="1:12" x14ac:dyDescent="0.45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</row>
    <row r="137" spans="1:12" x14ac:dyDescent="0.45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</row>
    <row r="138" spans="1:12" x14ac:dyDescent="0.45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</row>
    <row r="139" spans="1:12" x14ac:dyDescent="0.45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</row>
    <row r="140" spans="1:12" x14ac:dyDescent="0.45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</row>
    <row r="141" spans="1:12" x14ac:dyDescent="0.45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</row>
    <row r="142" spans="1:12" x14ac:dyDescent="0.45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</row>
    <row r="143" spans="1:12" x14ac:dyDescent="0.45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</row>
    <row r="144" spans="1:12" x14ac:dyDescent="0.45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</row>
    <row r="145" spans="1:12" x14ac:dyDescent="0.45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</row>
    <row r="146" spans="1:12" x14ac:dyDescent="0.45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</row>
    <row r="147" spans="1:12" x14ac:dyDescent="0.45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</row>
    <row r="148" spans="1:12" x14ac:dyDescent="0.45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</row>
    <row r="149" spans="1:12" x14ac:dyDescent="0.45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</row>
    <row r="150" spans="1:12" x14ac:dyDescent="0.45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</row>
    <row r="151" spans="1:12" x14ac:dyDescent="0.45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</row>
    <row r="152" spans="1:12" x14ac:dyDescent="0.45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</row>
    <row r="153" spans="1:12" x14ac:dyDescent="0.45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</row>
    <row r="154" spans="1:12" x14ac:dyDescent="0.45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</row>
    <row r="155" spans="1:12" x14ac:dyDescent="0.45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</row>
    <row r="156" spans="1:12" x14ac:dyDescent="0.45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</row>
    <row r="157" spans="1:12" x14ac:dyDescent="0.45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</row>
    <row r="158" spans="1:12" x14ac:dyDescent="0.45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</row>
    <row r="159" spans="1:12" x14ac:dyDescent="0.45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</row>
    <row r="160" spans="1:12" x14ac:dyDescent="0.45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</row>
    <row r="161" spans="1:12" x14ac:dyDescent="0.45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</row>
    <row r="162" spans="1:12" x14ac:dyDescent="0.45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</row>
    <row r="163" spans="1:12" x14ac:dyDescent="0.45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</row>
    <row r="164" spans="1:12" x14ac:dyDescent="0.45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</row>
    <row r="165" spans="1:12" x14ac:dyDescent="0.45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</row>
    <row r="166" spans="1:12" x14ac:dyDescent="0.45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</row>
    <row r="167" spans="1:12" x14ac:dyDescent="0.45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</row>
    <row r="168" spans="1:12" x14ac:dyDescent="0.45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</row>
    <row r="169" spans="1:12" x14ac:dyDescent="0.45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</row>
    <row r="170" spans="1:12" x14ac:dyDescent="0.45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</row>
    <row r="171" spans="1:12" x14ac:dyDescent="0.45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</row>
    <row r="172" spans="1:12" x14ac:dyDescent="0.45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</row>
    <row r="173" spans="1:12" x14ac:dyDescent="0.45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</row>
    <row r="174" spans="1:12" x14ac:dyDescent="0.45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</row>
    <row r="175" spans="1:12" x14ac:dyDescent="0.45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</row>
    <row r="176" spans="1:12" x14ac:dyDescent="0.45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</row>
    <row r="177" spans="1:12" x14ac:dyDescent="0.45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</row>
    <row r="178" spans="1:12" x14ac:dyDescent="0.45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</row>
    <row r="179" spans="1:12" x14ac:dyDescent="0.45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</row>
    <row r="180" spans="1:12" x14ac:dyDescent="0.45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</row>
    <row r="181" spans="1:12" x14ac:dyDescent="0.45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</row>
    <row r="182" spans="1:12" x14ac:dyDescent="0.45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</row>
    <row r="183" spans="1:12" x14ac:dyDescent="0.45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</row>
    <row r="184" spans="1:12" x14ac:dyDescent="0.45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</row>
    <row r="185" spans="1:12" x14ac:dyDescent="0.45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</row>
    <row r="186" spans="1:12" x14ac:dyDescent="0.45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</row>
    <row r="187" spans="1:12" x14ac:dyDescent="0.45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</row>
    <row r="188" spans="1:12" x14ac:dyDescent="0.45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</row>
    <row r="189" spans="1:12" x14ac:dyDescent="0.45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</row>
    <row r="190" spans="1:12" x14ac:dyDescent="0.45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</row>
    <row r="191" spans="1:12" x14ac:dyDescent="0.45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</row>
    <row r="192" spans="1:12" x14ac:dyDescent="0.45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</row>
    <row r="193" spans="1:12" x14ac:dyDescent="0.45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</row>
    <row r="194" spans="1:12" x14ac:dyDescent="0.45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</row>
    <row r="195" spans="1:12" x14ac:dyDescent="0.45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</row>
    <row r="196" spans="1:12" x14ac:dyDescent="0.45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</row>
    <row r="197" spans="1:12" x14ac:dyDescent="0.45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</row>
    <row r="198" spans="1:12" x14ac:dyDescent="0.45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</row>
    <row r="199" spans="1:12" x14ac:dyDescent="0.45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</row>
    <row r="200" spans="1:12" x14ac:dyDescent="0.45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</row>
    <row r="201" spans="1:12" x14ac:dyDescent="0.45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</row>
    <row r="202" spans="1:12" x14ac:dyDescent="0.45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</row>
    <row r="203" spans="1:12" x14ac:dyDescent="0.45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</row>
    <row r="204" spans="1:12" x14ac:dyDescent="0.45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</row>
    <row r="205" spans="1:12" x14ac:dyDescent="0.45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</row>
    <row r="206" spans="1:12" x14ac:dyDescent="0.45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</row>
    <row r="207" spans="1:12" x14ac:dyDescent="0.45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</row>
    <row r="208" spans="1:12" x14ac:dyDescent="0.45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</row>
    <row r="209" spans="1:12" x14ac:dyDescent="0.45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</row>
    <row r="210" spans="1:12" x14ac:dyDescent="0.45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</row>
    <row r="211" spans="1:12" x14ac:dyDescent="0.45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</row>
    <row r="212" spans="1:12" x14ac:dyDescent="0.45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</row>
    <row r="213" spans="1:12" x14ac:dyDescent="0.45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</row>
    <row r="214" spans="1:12" x14ac:dyDescent="0.45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</row>
    <row r="215" spans="1:12" x14ac:dyDescent="0.45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</row>
    <row r="216" spans="1:12" x14ac:dyDescent="0.45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</row>
    <row r="217" spans="1:12" x14ac:dyDescent="0.45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</row>
    <row r="218" spans="1:12" x14ac:dyDescent="0.45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</row>
    <row r="219" spans="1:12" x14ac:dyDescent="0.45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</row>
    <row r="220" spans="1:12" x14ac:dyDescent="0.45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</row>
    <row r="221" spans="1:12" x14ac:dyDescent="0.45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</row>
    <row r="222" spans="1:12" x14ac:dyDescent="0.45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</row>
    <row r="223" spans="1:12" x14ac:dyDescent="0.45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</row>
    <row r="224" spans="1:12" x14ac:dyDescent="0.45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</row>
    <row r="225" spans="1:12" x14ac:dyDescent="0.45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</row>
    <row r="226" spans="1:12" x14ac:dyDescent="0.45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</row>
    <row r="227" spans="1:12" x14ac:dyDescent="0.45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</row>
    <row r="228" spans="1:12" x14ac:dyDescent="0.45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</row>
    <row r="229" spans="1:12" x14ac:dyDescent="0.45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</row>
    <row r="230" spans="1:12" x14ac:dyDescent="0.45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</row>
    <row r="231" spans="1:12" x14ac:dyDescent="0.45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</row>
    <row r="232" spans="1:12" x14ac:dyDescent="0.45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</row>
    <row r="233" spans="1:12" x14ac:dyDescent="0.45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</row>
    <row r="234" spans="1:12" x14ac:dyDescent="0.45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</row>
    <row r="235" spans="1:12" x14ac:dyDescent="0.45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</row>
    <row r="236" spans="1:12" x14ac:dyDescent="0.45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</row>
    <row r="237" spans="1:12" x14ac:dyDescent="0.45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</row>
    <row r="238" spans="1:12" x14ac:dyDescent="0.45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</row>
    <row r="239" spans="1:12" x14ac:dyDescent="0.45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</row>
    <row r="240" spans="1:12" x14ac:dyDescent="0.45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</row>
    <row r="241" spans="1:12" x14ac:dyDescent="0.45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</row>
    <row r="242" spans="1:12" x14ac:dyDescent="0.45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</row>
    <row r="243" spans="1:12" x14ac:dyDescent="0.45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</row>
    <row r="244" spans="1:12" x14ac:dyDescent="0.45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</row>
    <row r="245" spans="1:12" x14ac:dyDescent="0.45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</row>
    <row r="246" spans="1:12" x14ac:dyDescent="0.45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</row>
    <row r="247" spans="1:12" x14ac:dyDescent="0.45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</row>
    <row r="248" spans="1:12" x14ac:dyDescent="0.45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</row>
    <row r="249" spans="1:12" x14ac:dyDescent="0.45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</row>
    <row r="250" spans="1:12" x14ac:dyDescent="0.45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</row>
    <row r="251" spans="1:12" x14ac:dyDescent="0.45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</row>
    <row r="252" spans="1:12" x14ac:dyDescent="0.45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</row>
    <row r="253" spans="1:12" x14ac:dyDescent="0.45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</row>
    <row r="254" spans="1:12" x14ac:dyDescent="0.45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</row>
    <row r="255" spans="1:12" x14ac:dyDescent="0.45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</row>
    <row r="256" spans="1:12" x14ac:dyDescent="0.45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</row>
    <row r="257" spans="1:12" x14ac:dyDescent="0.45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</row>
    <row r="258" spans="1:12" x14ac:dyDescent="0.45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ADDE-0FC9-4C51-8BB1-BFE5AFC7081B}">
  <dimension ref="A1:AS10"/>
  <sheetViews>
    <sheetView workbookViewId="0">
      <selection activeCell="E30" sqref="E30"/>
    </sheetView>
  </sheetViews>
  <sheetFormatPr defaultRowHeight="14.25" x14ac:dyDescent="0.45"/>
  <cols>
    <col min="1" max="1" width="27.19921875" bestFit="1" customWidth="1"/>
    <col min="2" max="2" width="14.86328125" bestFit="1" customWidth="1"/>
    <col min="3" max="3" width="14.6640625" bestFit="1" customWidth="1"/>
    <col min="4" max="4" width="15.6640625" bestFit="1" customWidth="1"/>
    <col min="5" max="5" width="30.6640625" bestFit="1" customWidth="1"/>
    <col min="6" max="6" width="9.6640625" bestFit="1" customWidth="1"/>
    <col min="7" max="7" width="12.33203125" bestFit="1" customWidth="1"/>
    <col min="8" max="8" width="11.796875" bestFit="1" customWidth="1"/>
    <col min="9" max="9" width="13.796875" bestFit="1" customWidth="1"/>
    <col min="10" max="10" width="30.6640625" bestFit="1" customWidth="1"/>
    <col min="11" max="11" width="9.6640625" bestFit="1" customWidth="1"/>
    <col min="12" max="12" width="24.33203125" bestFit="1" customWidth="1"/>
    <col min="13" max="13" width="11.796875" bestFit="1" customWidth="1"/>
    <col min="14" max="14" width="13.796875" bestFit="1" customWidth="1"/>
    <col min="15" max="15" width="18" bestFit="1" customWidth="1"/>
    <col min="16" max="16" width="17" bestFit="1" customWidth="1"/>
    <col min="17" max="17" width="19.6640625" bestFit="1" customWidth="1"/>
    <col min="18" max="18" width="9.6640625" bestFit="1" customWidth="1"/>
    <col min="20" max="20" width="11.796875" bestFit="1" customWidth="1"/>
    <col min="21" max="21" width="8.1328125" bestFit="1" customWidth="1"/>
    <col min="22" max="22" width="20.33203125" bestFit="1" customWidth="1"/>
    <col min="23" max="23" width="8.1328125" bestFit="1" customWidth="1"/>
    <col min="24" max="24" width="18.19921875" bestFit="1" customWidth="1"/>
    <col min="25" max="25" width="8.1328125" bestFit="1" customWidth="1"/>
    <col min="26" max="26" width="18.19921875" bestFit="1" customWidth="1"/>
    <col min="27" max="27" width="8.1328125" bestFit="1" customWidth="1"/>
    <col min="28" max="28" width="13.796875" bestFit="1" customWidth="1"/>
    <col min="29" max="29" width="8.1328125" bestFit="1" customWidth="1"/>
    <col min="30" max="30" width="12.6640625" bestFit="1" customWidth="1"/>
    <col min="31" max="31" width="8.1328125" bestFit="1" customWidth="1"/>
    <col min="32" max="32" width="20.33203125" bestFit="1" customWidth="1"/>
    <col min="33" max="33" width="8.1328125" bestFit="1" customWidth="1"/>
    <col min="34" max="34" width="24" bestFit="1" customWidth="1"/>
    <col min="35" max="35" width="8.1328125" bestFit="1" customWidth="1"/>
    <col min="36" max="36" width="15" bestFit="1" customWidth="1"/>
    <col min="37" max="37" width="8.1328125" bestFit="1" customWidth="1"/>
    <col min="38" max="38" width="11.796875" bestFit="1" customWidth="1"/>
    <col min="39" max="39" width="8.1328125" bestFit="1" customWidth="1"/>
    <col min="40" max="40" width="10.86328125" bestFit="1" customWidth="1"/>
    <col min="41" max="41" width="8.1328125" bestFit="1" customWidth="1"/>
    <col min="42" max="42" width="8.19921875" bestFit="1" customWidth="1"/>
    <col min="43" max="43" width="8.1328125" bestFit="1" customWidth="1"/>
    <col min="44" max="44" width="7.19921875" bestFit="1" customWidth="1"/>
    <col min="45" max="45" width="8.1328125" bestFit="1" customWidth="1"/>
  </cols>
  <sheetData>
    <row r="1" spans="1:45" x14ac:dyDescent="0.45">
      <c r="A1" s="284" t="s">
        <v>97</v>
      </c>
      <c r="B1" s="285"/>
      <c r="C1" s="285"/>
      <c r="D1" s="286"/>
      <c r="E1" s="293" t="s">
        <v>107</v>
      </c>
      <c r="F1" s="295"/>
      <c r="G1" s="295"/>
      <c r="H1" s="295"/>
      <c r="I1" s="294"/>
      <c r="J1" s="293" t="s">
        <v>116</v>
      </c>
      <c r="K1" s="295"/>
      <c r="L1" s="295"/>
      <c r="M1" s="295"/>
      <c r="N1" s="294"/>
      <c r="O1" s="293" t="s">
        <v>121</v>
      </c>
      <c r="P1" s="295"/>
      <c r="Q1" s="295"/>
      <c r="R1" s="295"/>
      <c r="S1" s="294"/>
      <c r="T1" s="293" t="s">
        <v>128</v>
      </c>
      <c r="U1" s="294"/>
      <c r="V1" s="290" t="s">
        <v>132</v>
      </c>
      <c r="W1" s="291"/>
      <c r="X1" s="291"/>
      <c r="Y1" s="291"/>
      <c r="Z1" s="291"/>
      <c r="AA1" s="291"/>
      <c r="AB1" s="291"/>
      <c r="AC1" s="291"/>
      <c r="AD1" s="291"/>
      <c r="AE1" s="292"/>
      <c r="AF1" s="287" t="s">
        <v>155</v>
      </c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  <c r="AR1" s="288"/>
      <c r="AS1" s="289"/>
    </row>
    <row r="2" spans="1:45" x14ac:dyDescent="0.45">
      <c r="A2" s="46" t="s">
        <v>92</v>
      </c>
      <c r="B2" s="62" t="s">
        <v>94</v>
      </c>
      <c r="C2" s="62" t="s">
        <v>95</v>
      </c>
      <c r="D2" s="63" t="s">
        <v>96</v>
      </c>
      <c r="E2" s="50" t="s">
        <v>92</v>
      </c>
      <c r="F2" s="64" t="s">
        <v>103</v>
      </c>
      <c r="G2" s="64" t="s">
        <v>104</v>
      </c>
      <c r="H2" s="64" t="s">
        <v>105</v>
      </c>
      <c r="I2" s="65" t="s">
        <v>106</v>
      </c>
      <c r="J2" s="46" t="s">
        <v>92</v>
      </c>
      <c r="K2" s="64" t="s">
        <v>103</v>
      </c>
      <c r="L2" s="64" t="s">
        <v>104</v>
      </c>
      <c r="M2" s="64" t="s">
        <v>105</v>
      </c>
      <c r="N2" s="66" t="s">
        <v>106</v>
      </c>
      <c r="O2" s="45" t="s">
        <v>92</v>
      </c>
      <c r="P2" s="67" t="s">
        <v>117</v>
      </c>
      <c r="Q2" s="67" t="s">
        <v>118</v>
      </c>
      <c r="R2" s="67" t="s">
        <v>119</v>
      </c>
      <c r="S2" s="68" t="s">
        <v>120</v>
      </c>
      <c r="T2" s="56" t="s">
        <v>92</v>
      </c>
      <c r="U2" s="58" t="s">
        <v>182</v>
      </c>
      <c r="V2" s="70" t="s">
        <v>133</v>
      </c>
      <c r="W2" s="71"/>
      <c r="X2" s="70" t="s">
        <v>183</v>
      </c>
      <c r="Y2" s="71"/>
      <c r="Z2" s="74" t="s">
        <v>184</v>
      </c>
      <c r="AA2" s="76"/>
      <c r="AB2" s="74" t="s">
        <v>149</v>
      </c>
      <c r="AC2" s="76"/>
      <c r="AD2" s="74" t="s">
        <v>185</v>
      </c>
      <c r="AE2" s="76"/>
      <c r="AF2" s="74" t="s">
        <v>186</v>
      </c>
      <c r="AG2" s="76"/>
      <c r="AH2" s="74" t="s">
        <v>161</v>
      </c>
      <c r="AI2" s="76"/>
      <c r="AJ2" s="74" t="s">
        <v>166</v>
      </c>
      <c r="AK2" s="76"/>
      <c r="AL2" s="74" t="s">
        <v>173</v>
      </c>
      <c r="AM2" s="76"/>
      <c r="AN2" s="74" t="s">
        <v>176</v>
      </c>
      <c r="AO2" s="76"/>
      <c r="AP2" s="74" t="s">
        <v>179</v>
      </c>
      <c r="AQ2" s="75"/>
      <c r="AR2" s="76" t="s">
        <v>180</v>
      </c>
      <c r="AS2" s="77"/>
    </row>
    <row r="3" spans="1:45" x14ac:dyDescent="0.45">
      <c r="A3" s="47" t="s">
        <v>98</v>
      </c>
      <c r="B3" s="48">
        <v>3.746E-2</v>
      </c>
      <c r="C3" s="48">
        <v>5.6140000000000002E-2</v>
      </c>
      <c r="D3" s="51">
        <v>9.4299999999999991E-3</v>
      </c>
      <c r="E3" s="47" t="s">
        <v>108</v>
      </c>
      <c r="F3" s="48">
        <v>0.11027000000000001</v>
      </c>
      <c r="G3" s="48">
        <v>0.11985</v>
      </c>
      <c r="H3" s="48">
        <v>0.12944</v>
      </c>
      <c r="I3" s="51">
        <v>0.11851</v>
      </c>
      <c r="J3" s="47" t="s">
        <v>108</v>
      </c>
      <c r="K3" s="48">
        <v>0.13155</v>
      </c>
      <c r="L3" s="48">
        <v>0.14299000000000001</v>
      </c>
      <c r="M3" s="48">
        <v>0.15442</v>
      </c>
      <c r="N3" s="49">
        <v>0.14138000000000001</v>
      </c>
      <c r="O3" s="25" t="s">
        <v>122</v>
      </c>
      <c r="P3" s="52" t="s">
        <v>124</v>
      </c>
      <c r="Q3" s="21" t="s">
        <v>125</v>
      </c>
      <c r="R3" s="53"/>
      <c r="S3" s="55"/>
      <c r="T3" s="21" t="s">
        <v>129</v>
      </c>
      <c r="U3" s="59">
        <v>6.9100000000000003E-3</v>
      </c>
      <c r="V3" s="56" t="s">
        <v>130</v>
      </c>
      <c r="W3" s="57" t="s">
        <v>182</v>
      </c>
      <c r="X3" s="67" t="s">
        <v>130</v>
      </c>
      <c r="Y3" s="72" t="s">
        <v>182</v>
      </c>
      <c r="Z3" s="67" t="s">
        <v>130</v>
      </c>
      <c r="AA3" s="72" t="s">
        <v>182</v>
      </c>
      <c r="AB3" s="67" t="s">
        <v>130</v>
      </c>
      <c r="AC3" s="72" t="s">
        <v>182</v>
      </c>
      <c r="AD3" s="67" t="s">
        <v>130</v>
      </c>
      <c r="AE3" s="73" t="s">
        <v>182</v>
      </c>
      <c r="AF3" s="56" t="s">
        <v>130</v>
      </c>
      <c r="AG3" s="69" t="s">
        <v>182</v>
      </c>
      <c r="AH3" s="56" t="s">
        <v>130</v>
      </c>
      <c r="AI3" s="69" t="s">
        <v>182</v>
      </c>
      <c r="AJ3" s="56" t="s">
        <v>130</v>
      </c>
      <c r="AK3" s="69" t="s">
        <v>182</v>
      </c>
      <c r="AL3" s="56" t="s">
        <v>130</v>
      </c>
      <c r="AM3" s="56" t="s">
        <v>182</v>
      </c>
      <c r="AN3" s="56" t="s">
        <v>130</v>
      </c>
      <c r="AO3" s="69" t="s">
        <v>182</v>
      </c>
      <c r="AP3" s="56" t="s">
        <v>130</v>
      </c>
      <c r="AQ3" s="56" t="s">
        <v>182</v>
      </c>
      <c r="AR3" s="56" t="s">
        <v>130</v>
      </c>
      <c r="AS3" s="56" t="s">
        <v>182</v>
      </c>
    </row>
    <row r="4" spans="1:45" x14ac:dyDescent="0.45">
      <c r="A4" s="41" t="s">
        <v>100</v>
      </c>
      <c r="B4" s="30">
        <v>4.6019999999999998E-2</v>
      </c>
      <c r="C4" s="30">
        <v>6.0740000000000002E-2</v>
      </c>
      <c r="D4" s="43">
        <v>1.4540000000000001E-2</v>
      </c>
      <c r="E4" s="41" t="s">
        <v>109</v>
      </c>
      <c r="F4" s="30">
        <v>0.13206999999999999</v>
      </c>
      <c r="G4" s="30">
        <v>0.15093999999999999</v>
      </c>
      <c r="H4" s="30">
        <v>0.16980999999999999</v>
      </c>
      <c r="I4" s="43">
        <v>0.14452999999999999</v>
      </c>
      <c r="J4" s="41" t="s">
        <v>109</v>
      </c>
      <c r="K4" s="30">
        <v>0.15756000000000001</v>
      </c>
      <c r="L4" s="30">
        <v>0.18007000000000001</v>
      </c>
      <c r="M4" s="30">
        <v>0.20258000000000001</v>
      </c>
      <c r="N4" s="31">
        <v>0.17241999999999999</v>
      </c>
      <c r="O4" s="25" t="s">
        <v>126</v>
      </c>
      <c r="P4" s="54"/>
      <c r="Q4" s="54"/>
      <c r="R4" s="21">
        <v>0.25900000000000001</v>
      </c>
      <c r="S4" s="21">
        <v>0.20300000000000001</v>
      </c>
      <c r="V4" s="52" t="s">
        <v>134</v>
      </c>
      <c r="W4" s="59">
        <v>6.7000000000000002E-4</v>
      </c>
      <c r="X4" s="52" t="s">
        <v>142</v>
      </c>
      <c r="Y4" s="59">
        <v>1.31E-3</v>
      </c>
      <c r="Z4" s="52" t="s">
        <v>148</v>
      </c>
      <c r="AA4" s="59">
        <v>1.9300000000000001E-3</v>
      </c>
      <c r="AB4" s="52" t="s">
        <v>150</v>
      </c>
      <c r="AC4" s="60">
        <v>2.14E-3</v>
      </c>
      <c r="AD4" s="52" t="s">
        <v>153</v>
      </c>
      <c r="AE4" s="59">
        <v>2.0699999999999998E-3</v>
      </c>
      <c r="AF4" s="52" t="s">
        <v>134</v>
      </c>
      <c r="AG4" s="59">
        <v>5.6999999999999998E-4</v>
      </c>
      <c r="AH4" s="52" t="s">
        <v>162</v>
      </c>
      <c r="AI4" s="59">
        <v>2.7299999999999998E-3</v>
      </c>
      <c r="AJ4" s="52" t="s">
        <v>167</v>
      </c>
      <c r="AK4" s="59">
        <v>2.8700000000000002E-3</v>
      </c>
      <c r="AL4" s="52" t="s">
        <v>174</v>
      </c>
      <c r="AM4" s="52">
        <v>7.3499999999999998E-3</v>
      </c>
      <c r="AN4" s="52" t="s">
        <v>177</v>
      </c>
      <c r="AO4" s="59">
        <v>1.136E-2</v>
      </c>
      <c r="AP4" s="52" t="s">
        <v>140</v>
      </c>
      <c r="AQ4" s="52">
        <v>8.5279999999999995E-2</v>
      </c>
      <c r="AR4" s="52" t="s">
        <v>181</v>
      </c>
      <c r="AS4" s="52">
        <v>2.96E-3</v>
      </c>
    </row>
    <row r="5" spans="1:45" x14ac:dyDescent="0.45">
      <c r="A5" s="41" t="s">
        <v>101</v>
      </c>
      <c r="B5" s="30">
        <v>6.7059999999999995E-2</v>
      </c>
      <c r="C5" s="30">
        <v>9.783E-2</v>
      </c>
      <c r="D5" s="43">
        <v>1.9789999999999999E-2</v>
      </c>
      <c r="E5" s="41" t="s">
        <v>110</v>
      </c>
      <c r="F5" s="30">
        <v>0.18171999999999999</v>
      </c>
      <c r="G5" s="30">
        <v>0.22159999999999999</v>
      </c>
      <c r="H5" s="30">
        <v>0.26149</v>
      </c>
      <c r="I5" s="43">
        <v>0.23755999999999999</v>
      </c>
      <c r="J5" s="41" t="s">
        <v>110</v>
      </c>
      <c r="K5" s="30">
        <v>0.21678</v>
      </c>
      <c r="L5" s="30">
        <v>0.26436999999999999</v>
      </c>
      <c r="M5" s="30">
        <v>0.31196000000000002</v>
      </c>
      <c r="N5" s="31">
        <v>0.28339999999999999</v>
      </c>
      <c r="O5" s="25" t="s">
        <v>127</v>
      </c>
      <c r="P5" s="54"/>
      <c r="Q5" s="54"/>
      <c r="R5" s="21">
        <v>0.315</v>
      </c>
      <c r="S5" s="21">
        <v>0.13100000000000001</v>
      </c>
      <c r="V5" s="52" t="s">
        <v>135</v>
      </c>
      <c r="W5" s="59">
        <v>1.01E-3</v>
      </c>
      <c r="X5" s="52" t="s">
        <v>143</v>
      </c>
      <c r="Y5" s="59">
        <v>2.3600000000000001E-3</v>
      </c>
      <c r="Z5" s="52" t="s">
        <v>144</v>
      </c>
      <c r="AA5" s="59">
        <v>2.48E-3</v>
      </c>
      <c r="AB5" s="52" t="s">
        <v>151</v>
      </c>
      <c r="AC5" s="60">
        <v>3.3300000000000001E-3</v>
      </c>
      <c r="AD5" s="52" t="s">
        <v>154</v>
      </c>
      <c r="AE5" s="59">
        <v>9.9900000000000006E-3</v>
      </c>
      <c r="AF5" s="52" t="s">
        <v>157</v>
      </c>
      <c r="AG5" s="59">
        <v>6.8999999999999997E-4</v>
      </c>
      <c r="AH5" s="52" t="s">
        <v>145</v>
      </c>
      <c r="AI5" s="59">
        <v>3.63E-3</v>
      </c>
      <c r="AJ5" s="52" t="s">
        <v>168</v>
      </c>
      <c r="AK5" s="59">
        <v>3.81E-3</v>
      </c>
      <c r="AL5" s="52" t="s">
        <v>175</v>
      </c>
      <c r="AM5" s="52">
        <v>1.3220000000000001E-2</v>
      </c>
      <c r="AN5" s="52" t="s">
        <v>178</v>
      </c>
      <c r="AO5" s="52">
        <v>1.384E-2</v>
      </c>
      <c r="AP5" s="5"/>
      <c r="AQ5" s="5"/>
      <c r="AR5" s="5"/>
      <c r="AS5" s="5"/>
    </row>
    <row r="6" spans="1:45" x14ac:dyDescent="0.45">
      <c r="A6" s="42" t="s">
        <v>102</v>
      </c>
      <c r="B6" s="32">
        <v>6.1280000000000001E-2</v>
      </c>
      <c r="C6" s="32">
        <v>6.1830000000000003E-2</v>
      </c>
      <c r="D6" s="44">
        <v>1.7590000000000001E-2</v>
      </c>
      <c r="E6" s="41" t="s">
        <v>111</v>
      </c>
      <c r="F6" s="30">
        <v>0.16044</v>
      </c>
      <c r="G6" s="30">
        <v>0.19131000000000001</v>
      </c>
      <c r="H6" s="30">
        <v>0.22217999999999999</v>
      </c>
      <c r="I6" s="43">
        <v>0.20099</v>
      </c>
      <c r="J6" s="41" t="s">
        <v>111</v>
      </c>
      <c r="K6" s="30">
        <v>0.19139999999999999</v>
      </c>
      <c r="L6" s="30">
        <v>0.22822999999999999</v>
      </c>
      <c r="M6" s="30">
        <v>0.26506000000000002</v>
      </c>
      <c r="N6" s="31">
        <v>0.23977999999999999</v>
      </c>
      <c r="V6" s="52" t="s">
        <v>136</v>
      </c>
      <c r="W6" s="59">
        <v>1.3500000000000001E-3</v>
      </c>
      <c r="X6" s="52" t="s">
        <v>144</v>
      </c>
      <c r="Y6" s="59">
        <v>4.2900000000000004E-3</v>
      </c>
      <c r="Z6" s="52" t="s">
        <v>145</v>
      </c>
      <c r="AA6" s="59">
        <v>3.47E-3</v>
      </c>
      <c r="AB6" s="52" t="s">
        <v>140</v>
      </c>
      <c r="AC6" s="60">
        <v>2.6199999999999999E-3</v>
      </c>
      <c r="AD6" s="52" t="s">
        <v>140</v>
      </c>
      <c r="AE6" s="59">
        <v>2.3500000000000001E-3</v>
      </c>
      <c r="AF6" s="52" t="s">
        <v>158</v>
      </c>
      <c r="AG6" s="59">
        <v>9.3999999999999997E-4</v>
      </c>
      <c r="AH6" s="52" t="s">
        <v>146</v>
      </c>
      <c r="AI6" s="59">
        <v>3.1900000000000001E-3</v>
      </c>
      <c r="AJ6" s="52" t="s">
        <v>169</v>
      </c>
      <c r="AK6" s="59">
        <v>3.81E-3</v>
      </c>
      <c r="AL6" s="52" t="s">
        <v>140</v>
      </c>
      <c r="AM6" s="52">
        <v>8.7299999999999999E-3</v>
      </c>
      <c r="AN6" s="52" t="s">
        <v>140</v>
      </c>
      <c r="AO6" s="52">
        <v>1.17E-2</v>
      </c>
      <c r="AP6" s="5"/>
      <c r="AQ6" s="5"/>
      <c r="AR6" s="5"/>
      <c r="AS6" s="5"/>
    </row>
    <row r="7" spans="1:45" x14ac:dyDescent="0.45">
      <c r="E7" s="41" t="s">
        <v>112</v>
      </c>
      <c r="F7" s="30">
        <v>0.14831</v>
      </c>
      <c r="G7" s="30">
        <v>0.18537999999999999</v>
      </c>
      <c r="H7" s="30">
        <v>0.22245999999999999</v>
      </c>
      <c r="I7" s="43">
        <v>0.18537999999999999</v>
      </c>
      <c r="J7" s="41" t="s">
        <v>112</v>
      </c>
      <c r="K7" s="30">
        <v>0.17199</v>
      </c>
      <c r="L7" s="30">
        <v>0.21498999999999999</v>
      </c>
      <c r="M7" s="30">
        <v>0.25799</v>
      </c>
      <c r="N7" s="31">
        <v>0.21498999999999999</v>
      </c>
      <c r="V7" s="52" t="s">
        <v>137</v>
      </c>
      <c r="W7" s="59">
        <v>1.72E-3</v>
      </c>
      <c r="X7" s="52" t="s">
        <v>145</v>
      </c>
      <c r="Y7" s="59">
        <v>6.7000000000000002E-3</v>
      </c>
      <c r="Z7" s="52" t="s">
        <v>146</v>
      </c>
      <c r="AA7" s="52">
        <v>5.1000000000000004E-3</v>
      </c>
      <c r="AF7" s="52" t="s">
        <v>159</v>
      </c>
      <c r="AG7" s="59">
        <v>1.31E-3</v>
      </c>
      <c r="AH7" s="52" t="s">
        <v>163</v>
      </c>
      <c r="AI7" s="59">
        <v>2.5300000000000001E-3</v>
      </c>
      <c r="AJ7" s="52" t="s">
        <v>170</v>
      </c>
      <c r="AK7" s="52">
        <v>4.5900000000000003E-3</v>
      </c>
      <c r="AL7" s="5"/>
      <c r="AM7" s="5"/>
      <c r="AN7" s="5"/>
      <c r="AO7" s="5"/>
      <c r="AP7" s="5"/>
      <c r="AQ7" s="5"/>
      <c r="AR7" s="5"/>
      <c r="AS7" s="5"/>
    </row>
    <row r="8" spans="1:45" x14ac:dyDescent="0.45">
      <c r="E8" s="41" t="s">
        <v>113</v>
      </c>
      <c r="F8" s="30">
        <v>0.15178</v>
      </c>
      <c r="G8" s="30">
        <v>0.20236999999999999</v>
      </c>
      <c r="H8" s="30">
        <v>0.25296000000000002</v>
      </c>
      <c r="I8" s="43">
        <v>0.22058</v>
      </c>
      <c r="J8" s="41" t="s">
        <v>113</v>
      </c>
      <c r="K8" s="30">
        <v>0.17602000000000001</v>
      </c>
      <c r="L8" s="30">
        <v>0.23469000000000001</v>
      </c>
      <c r="M8" s="30">
        <v>0.29336000000000001</v>
      </c>
      <c r="N8" s="31">
        <v>0.25580999999999998</v>
      </c>
      <c r="V8" s="52" t="s">
        <v>138</v>
      </c>
      <c r="W8" s="59">
        <v>2.0899999999999998E-3</v>
      </c>
      <c r="X8" s="52" t="s">
        <v>146</v>
      </c>
      <c r="Y8" s="59">
        <v>1.0330000000000001E-2</v>
      </c>
      <c r="Z8" s="52" t="s">
        <v>140</v>
      </c>
      <c r="AA8" s="52">
        <v>2.3400000000000001E-3</v>
      </c>
      <c r="AF8" s="52" t="s">
        <v>160</v>
      </c>
      <c r="AG8" s="59">
        <v>1.81E-3</v>
      </c>
      <c r="AH8" s="52" t="s">
        <v>164</v>
      </c>
      <c r="AI8" s="59">
        <v>4.0200000000000001E-3</v>
      </c>
      <c r="AJ8" s="52" t="s">
        <v>171</v>
      </c>
      <c r="AK8" s="52">
        <v>7.3699999999999998E-3</v>
      </c>
      <c r="AL8" s="5"/>
      <c r="AM8" s="5"/>
      <c r="AN8" s="5"/>
      <c r="AO8" s="5"/>
      <c r="AP8" s="5"/>
      <c r="AQ8" s="5"/>
      <c r="AR8" s="5"/>
      <c r="AS8" s="5"/>
    </row>
    <row r="9" spans="1:45" x14ac:dyDescent="0.45">
      <c r="E9" s="41" t="s">
        <v>114</v>
      </c>
      <c r="F9" s="30">
        <v>0.15162</v>
      </c>
      <c r="G9" s="30">
        <v>0.20158999999999999</v>
      </c>
      <c r="H9" s="30">
        <v>0.25157000000000002</v>
      </c>
      <c r="I9" s="43">
        <v>0.21898000000000001</v>
      </c>
      <c r="J9" s="41" t="s">
        <v>114</v>
      </c>
      <c r="K9" s="30">
        <v>0.17582999999999999</v>
      </c>
      <c r="L9" s="30">
        <v>0.23379</v>
      </c>
      <c r="M9" s="30">
        <v>0.29175000000000001</v>
      </c>
      <c r="N9" s="31">
        <v>0.25395000000000001</v>
      </c>
      <c r="V9" s="52" t="s">
        <v>139</v>
      </c>
      <c r="W9" s="59">
        <v>7.6400000000000001E-3</v>
      </c>
      <c r="X9" s="52" t="s">
        <v>140</v>
      </c>
      <c r="Y9" s="52">
        <v>2.0500000000000002E-3</v>
      </c>
      <c r="AF9" s="52" t="s">
        <v>139</v>
      </c>
      <c r="AG9" s="59">
        <v>6.7000000000000002E-3</v>
      </c>
      <c r="AH9" s="52" t="s">
        <v>165</v>
      </c>
      <c r="AI9" s="59">
        <v>4.5500000000000002E-3</v>
      </c>
      <c r="AJ9" s="52" t="s">
        <v>172</v>
      </c>
      <c r="AK9" s="52">
        <v>8.3300000000000006E-3</v>
      </c>
      <c r="AL9" s="5"/>
      <c r="AM9" s="5"/>
      <c r="AN9" s="5"/>
      <c r="AO9" s="5"/>
      <c r="AP9" s="5"/>
      <c r="AQ9" s="5"/>
      <c r="AR9" s="5"/>
      <c r="AS9" s="5"/>
    </row>
    <row r="10" spans="1:45" x14ac:dyDescent="0.45">
      <c r="E10" s="42" t="s">
        <v>115</v>
      </c>
      <c r="F10" s="32">
        <v>0.15526999999999999</v>
      </c>
      <c r="G10" s="32">
        <v>0.19733999999999999</v>
      </c>
      <c r="H10" s="32">
        <v>0.23941999999999999</v>
      </c>
      <c r="I10" s="44">
        <v>0.21154000000000001</v>
      </c>
      <c r="J10" s="42" t="s">
        <v>115</v>
      </c>
      <c r="K10" s="32">
        <v>0.1822</v>
      </c>
      <c r="L10" s="32">
        <v>0.23157</v>
      </c>
      <c r="M10" s="32">
        <v>0.28094999999999998</v>
      </c>
      <c r="N10" s="33">
        <v>0.24823999999999999</v>
      </c>
      <c r="V10" s="52" t="s">
        <v>140</v>
      </c>
      <c r="W10" s="52">
        <v>1.0399999999999999E-3</v>
      </c>
      <c r="AF10" s="52" t="s">
        <v>140</v>
      </c>
      <c r="AG10" s="59">
        <v>8.0000000000000004E-4</v>
      </c>
      <c r="AH10" s="52" t="s">
        <v>140</v>
      </c>
      <c r="AI10" s="59">
        <v>3.0000000000000001E-3</v>
      </c>
      <c r="AJ10" s="52" t="s">
        <v>140</v>
      </c>
      <c r="AK10" s="52">
        <v>3.65E-3</v>
      </c>
      <c r="AL10" s="5"/>
      <c r="AM10" s="5"/>
      <c r="AN10" s="5"/>
      <c r="AO10" s="5"/>
      <c r="AP10" s="5"/>
      <c r="AQ10" s="5"/>
      <c r="AR10" s="5"/>
      <c r="AS10" s="5"/>
    </row>
  </sheetData>
  <mergeCells count="7">
    <mergeCell ref="A1:D1"/>
    <mergeCell ref="AF1:AS1"/>
    <mergeCell ref="V1:AE1"/>
    <mergeCell ref="T1:U1"/>
    <mergeCell ref="O1:S1"/>
    <mergeCell ref="J1:N1"/>
    <mergeCell ref="E1:I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393A-9557-43CE-B45F-3D30F980E3AF}">
  <dimension ref="A1:BA87"/>
  <sheetViews>
    <sheetView workbookViewId="0">
      <selection activeCell="D13" sqref="D13"/>
    </sheetView>
  </sheetViews>
  <sheetFormatPr defaultRowHeight="14.25" x14ac:dyDescent="0.45"/>
  <cols>
    <col min="1" max="1" width="17.33203125" bestFit="1" customWidth="1"/>
    <col min="2" max="2" width="30.6640625" bestFit="1" customWidth="1"/>
    <col min="3" max="3" width="24" bestFit="1" customWidth="1"/>
    <col min="4" max="4" width="17" bestFit="1" customWidth="1"/>
    <col min="5" max="5" width="19.6640625" bestFit="1" customWidth="1"/>
    <col min="6" max="6" width="15.6640625" bestFit="1" customWidth="1"/>
    <col min="7" max="7" width="9.19921875" customWidth="1"/>
    <col min="8" max="8" width="17.86328125" bestFit="1" customWidth="1"/>
    <col min="9" max="9" width="30.6640625" bestFit="1" customWidth="1"/>
    <col min="10" max="10" width="14.86328125" bestFit="1" customWidth="1"/>
    <col min="11" max="11" width="14.6640625" bestFit="1" customWidth="1"/>
    <col min="12" max="12" width="10.6640625" bestFit="1" customWidth="1"/>
    <col min="13" max="13" width="11.796875" bestFit="1" customWidth="1"/>
    <col min="14" max="14" width="13.796875" bestFit="1" customWidth="1"/>
    <col min="15" max="15" width="10.6640625" bestFit="1" customWidth="1"/>
    <col min="16" max="16" width="16.796875" bestFit="1" customWidth="1"/>
    <col min="17" max="17" width="18" bestFit="1" customWidth="1"/>
    <col min="18" max="18" width="30.6640625" bestFit="1" customWidth="1"/>
    <col min="19" max="19" width="8.1328125" bestFit="1" customWidth="1"/>
    <col min="20" max="20" width="10.86328125" bestFit="1" customWidth="1"/>
    <col min="21" max="21" width="11.796875" bestFit="1" customWidth="1"/>
    <col min="22" max="22" width="13.796875" bestFit="1" customWidth="1"/>
    <col min="23" max="23" width="8.6640625" customWidth="1"/>
    <col min="24" max="24" width="17" bestFit="1" customWidth="1"/>
    <col min="25" max="25" width="19.6640625" bestFit="1" customWidth="1"/>
    <col min="26" max="27" width="9.6640625" bestFit="1" customWidth="1"/>
    <col min="28" max="28" width="6.19921875" customWidth="1"/>
    <col min="29" max="29" width="16.796875" bestFit="1" customWidth="1"/>
    <col min="30" max="30" width="17.6640625" bestFit="1" customWidth="1"/>
    <col min="31" max="31" width="24" bestFit="1" customWidth="1"/>
    <col min="32" max="32" width="10.1328125" bestFit="1" customWidth="1"/>
    <col min="33" max="33" width="8.1328125" bestFit="1" customWidth="1"/>
    <col min="34" max="34" width="18.19921875" bestFit="1" customWidth="1"/>
    <col min="35" max="35" width="9.1328125" bestFit="1" customWidth="1"/>
    <col min="36" max="36" width="13.796875" bestFit="1" customWidth="1"/>
    <col min="37" max="37" width="8.1328125" bestFit="1" customWidth="1"/>
    <col min="38" max="38" width="12.6640625" bestFit="1" customWidth="1"/>
    <col min="39" max="39" width="8.1328125" bestFit="1" customWidth="1"/>
    <col min="40" max="40" width="20.33203125" bestFit="1" customWidth="1"/>
    <col min="41" max="41" width="9.1328125" bestFit="1" customWidth="1"/>
    <col min="42" max="42" width="24" bestFit="1" customWidth="1"/>
    <col min="43" max="43" width="8.1328125" bestFit="1" customWidth="1"/>
    <col min="44" max="44" width="15" bestFit="1" customWidth="1"/>
    <col min="45" max="45" width="8.1328125" bestFit="1" customWidth="1"/>
    <col min="46" max="46" width="11.796875" bestFit="1" customWidth="1"/>
    <col min="47" max="47" width="8.1328125" bestFit="1" customWidth="1"/>
    <col min="48" max="48" width="10.86328125" bestFit="1" customWidth="1"/>
    <col min="49" max="49" width="8.1328125" bestFit="1" customWidth="1"/>
    <col min="50" max="50" width="8.19921875" bestFit="1" customWidth="1"/>
    <col min="51" max="51" width="8.1328125" bestFit="1" customWidth="1"/>
    <col min="52" max="52" width="7.19921875" bestFit="1" customWidth="1"/>
    <col min="53" max="53" width="8.1328125" bestFit="1" customWidth="1"/>
  </cols>
  <sheetData>
    <row r="1" spans="1:53" x14ac:dyDescent="0.45">
      <c r="A1" s="4" t="s">
        <v>91</v>
      </c>
      <c r="B1" s="4" t="s">
        <v>92</v>
      </c>
      <c r="C1" s="5" t="s">
        <v>93</v>
      </c>
      <c r="D1" s="5" t="s">
        <v>94</v>
      </c>
      <c r="E1" s="5" t="s">
        <v>95</v>
      </c>
      <c r="F1" s="5" t="s">
        <v>96</v>
      </c>
      <c r="H1" s="6" t="s">
        <v>91</v>
      </c>
      <c r="I1" s="4" t="s">
        <v>92</v>
      </c>
      <c r="J1" s="5" t="s">
        <v>93</v>
      </c>
      <c r="K1" s="5" t="s">
        <v>103</v>
      </c>
      <c r="L1" s="5" t="s">
        <v>104</v>
      </c>
      <c r="M1" s="5" t="s">
        <v>105</v>
      </c>
      <c r="N1" s="5" t="s">
        <v>106</v>
      </c>
      <c r="O1" s="85"/>
      <c r="P1" t="s">
        <v>91</v>
      </c>
      <c r="Q1" s="5" t="s">
        <v>92</v>
      </c>
      <c r="R1" s="5" t="s">
        <v>93</v>
      </c>
      <c r="S1" s="5" t="s">
        <v>117</v>
      </c>
      <c r="T1" s="5" t="s">
        <v>118</v>
      </c>
      <c r="U1" s="5" t="s">
        <v>119</v>
      </c>
      <c r="V1" s="5" t="s">
        <v>120</v>
      </c>
      <c r="W1" s="86"/>
      <c r="X1" s="86" t="s">
        <v>91</v>
      </c>
      <c r="Y1" s="85" t="s">
        <v>92</v>
      </c>
      <c r="Z1" s="85" t="s">
        <v>93</v>
      </c>
      <c r="AA1" s="85" t="s">
        <v>182</v>
      </c>
      <c r="AB1" s="86"/>
      <c r="AC1" t="s">
        <v>91</v>
      </c>
      <c r="AD1" s="4" t="s">
        <v>92</v>
      </c>
      <c r="AE1" s="5" t="s">
        <v>130</v>
      </c>
      <c r="AF1" s="5" t="s">
        <v>93</v>
      </c>
      <c r="AG1" s="5" t="s">
        <v>131</v>
      </c>
      <c r="AH1" s="2"/>
      <c r="AI1" s="2"/>
      <c r="AJ1" s="2"/>
      <c r="AK1" s="2"/>
      <c r="AL1" s="2"/>
      <c r="AM1" s="2"/>
      <c r="AN1" s="255"/>
      <c r="AO1" s="255"/>
      <c r="AP1" s="255"/>
      <c r="AQ1" s="255"/>
      <c r="AR1" s="255"/>
      <c r="AS1" s="255"/>
      <c r="AT1" s="255"/>
      <c r="AU1" s="255"/>
      <c r="AV1" s="255"/>
      <c r="AW1" s="255"/>
      <c r="AX1" s="255"/>
      <c r="AY1" s="255"/>
      <c r="AZ1" s="255"/>
      <c r="BA1" s="255"/>
    </row>
    <row r="2" spans="1:53" x14ac:dyDescent="0.45">
      <c r="A2" s="78"/>
      <c r="B2" s="24" t="s">
        <v>98</v>
      </c>
      <c r="C2" s="22" t="s">
        <v>99</v>
      </c>
      <c r="D2" s="28">
        <v>3.746E-2</v>
      </c>
      <c r="E2" s="28">
        <v>5.6140000000000002E-2</v>
      </c>
      <c r="F2" s="29">
        <v>9.4299999999999991E-3</v>
      </c>
      <c r="H2" s="298" t="s">
        <v>107</v>
      </c>
      <c r="I2" s="24" t="s">
        <v>108</v>
      </c>
      <c r="J2" s="22" t="s">
        <v>99</v>
      </c>
      <c r="K2" s="28">
        <v>0.11027000000000001</v>
      </c>
      <c r="L2" s="28">
        <v>0.11985</v>
      </c>
      <c r="M2" s="28">
        <v>0.12944</v>
      </c>
      <c r="N2" s="29">
        <v>0.11851</v>
      </c>
      <c r="O2" s="5"/>
      <c r="P2" s="298" t="s">
        <v>121</v>
      </c>
      <c r="Q2" s="8" t="s">
        <v>122</v>
      </c>
      <c r="R2" s="8" t="s">
        <v>123</v>
      </c>
      <c r="S2" s="9">
        <v>0.13516</v>
      </c>
      <c r="T2" s="8">
        <v>0.13516</v>
      </c>
      <c r="U2" s="38"/>
      <c r="V2" s="39"/>
      <c r="W2" s="5"/>
      <c r="X2" s="82" t="s">
        <v>128</v>
      </c>
      <c r="Y2" s="18" t="s">
        <v>129</v>
      </c>
      <c r="Z2" s="18" t="s">
        <v>123</v>
      </c>
      <c r="AA2" s="27">
        <v>6.9100000000000003E-3</v>
      </c>
      <c r="AB2" s="5"/>
      <c r="AC2" s="301" t="s">
        <v>132</v>
      </c>
      <c r="AD2" s="296" t="s">
        <v>133</v>
      </c>
      <c r="AE2" s="9" t="s">
        <v>134</v>
      </c>
      <c r="AF2" s="9" t="s">
        <v>123</v>
      </c>
      <c r="AG2" s="10">
        <v>6.7000000000000002E-4</v>
      </c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5"/>
      <c r="AX2" s="255"/>
      <c r="AY2" s="255"/>
      <c r="AZ2" s="255"/>
      <c r="BA2" s="255"/>
    </row>
    <row r="3" spans="1:53" x14ac:dyDescent="0.45">
      <c r="A3" s="79" t="s">
        <v>97</v>
      </c>
      <c r="B3" s="25" t="s">
        <v>100</v>
      </c>
      <c r="C3" s="21" t="s">
        <v>99</v>
      </c>
      <c r="D3" s="30">
        <v>4.6019999999999998E-2</v>
      </c>
      <c r="E3" s="30">
        <v>6.0740000000000002E-2</v>
      </c>
      <c r="F3" s="31">
        <v>1.4540000000000001E-2</v>
      </c>
      <c r="H3" s="299"/>
      <c r="I3" s="25" t="s">
        <v>109</v>
      </c>
      <c r="J3" s="21" t="s">
        <v>99</v>
      </c>
      <c r="K3" s="30">
        <v>0.13206999999999999</v>
      </c>
      <c r="L3" s="30">
        <v>0.15093999999999999</v>
      </c>
      <c r="M3" s="30">
        <v>0.16980999999999999</v>
      </c>
      <c r="N3" s="31">
        <v>0.14452999999999999</v>
      </c>
      <c r="O3" s="7"/>
      <c r="P3" s="299"/>
      <c r="Q3" s="5" t="s">
        <v>126</v>
      </c>
      <c r="R3" s="5" t="s">
        <v>123</v>
      </c>
      <c r="S3" s="36"/>
      <c r="T3" s="36"/>
      <c r="U3" s="5">
        <v>0.25900000000000001</v>
      </c>
      <c r="V3" s="16">
        <v>0.20300000000000001</v>
      </c>
      <c r="W3" s="5"/>
      <c r="X3" s="7"/>
      <c r="Y3" s="5"/>
      <c r="Z3" s="5"/>
      <c r="AA3" s="5"/>
      <c r="AB3" s="5"/>
      <c r="AC3" s="302"/>
      <c r="AD3" s="259"/>
      <c r="AE3" s="7" t="s">
        <v>135</v>
      </c>
      <c r="AF3" s="7" t="s">
        <v>123</v>
      </c>
      <c r="AG3" s="11">
        <v>1.01E-3</v>
      </c>
      <c r="AH3" s="5"/>
      <c r="AJ3" s="5"/>
      <c r="AL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spans="1:53" x14ac:dyDescent="0.45">
      <c r="A4" s="80"/>
      <c r="B4" s="25" t="s">
        <v>101</v>
      </c>
      <c r="C4" s="21" t="s">
        <v>99</v>
      </c>
      <c r="D4" s="30">
        <v>6.7059999999999995E-2</v>
      </c>
      <c r="E4" s="30">
        <v>9.783E-2</v>
      </c>
      <c r="F4" s="31">
        <v>1.9789999999999999E-2</v>
      </c>
      <c r="H4" s="299"/>
      <c r="I4" s="25" t="s">
        <v>110</v>
      </c>
      <c r="J4" s="21" t="s">
        <v>99</v>
      </c>
      <c r="K4" s="30">
        <v>0.18171999999999999</v>
      </c>
      <c r="L4" s="30">
        <v>0.22159999999999999</v>
      </c>
      <c r="M4" s="30">
        <v>0.26149</v>
      </c>
      <c r="N4" s="31">
        <v>0.23755999999999999</v>
      </c>
      <c r="O4" s="7"/>
      <c r="P4" s="300"/>
      <c r="Q4" s="12" t="s">
        <v>127</v>
      </c>
      <c r="R4" s="12" t="s">
        <v>123</v>
      </c>
      <c r="S4" s="37"/>
      <c r="T4" s="37"/>
      <c r="U4" s="12">
        <v>0.315</v>
      </c>
      <c r="V4" s="17">
        <v>0.13100000000000001</v>
      </c>
      <c r="W4" s="5"/>
      <c r="X4" s="61"/>
      <c r="Y4" s="61"/>
      <c r="Z4" s="5"/>
      <c r="AA4" s="5"/>
      <c r="AC4" s="302"/>
      <c r="AD4" s="259"/>
      <c r="AE4" s="7" t="s">
        <v>136</v>
      </c>
      <c r="AF4" s="7" t="s">
        <v>123</v>
      </c>
      <c r="AG4" s="11">
        <v>1.3500000000000001E-3</v>
      </c>
      <c r="AH4" s="7"/>
      <c r="AI4" s="7"/>
      <c r="AJ4" s="7"/>
      <c r="AK4" s="6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x14ac:dyDescent="0.45">
      <c r="A5" s="81"/>
      <c r="B5" s="26" t="s">
        <v>102</v>
      </c>
      <c r="C5" s="23" t="s">
        <v>99</v>
      </c>
      <c r="D5" s="32">
        <v>6.1280000000000001E-2</v>
      </c>
      <c r="E5" s="32">
        <v>6.1830000000000003E-2</v>
      </c>
      <c r="F5" s="33">
        <v>1.7590000000000001E-2</v>
      </c>
      <c r="H5" s="299"/>
      <c r="I5" s="25" t="s">
        <v>111</v>
      </c>
      <c r="J5" s="21" t="s">
        <v>99</v>
      </c>
      <c r="K5" s="30">
        <v>0.16044</v>
      </c>
      <c r="L5" s="30">
        <v>0.19131000000000001</v>
      </c>
      <c r="M5" s="30">
        <v>0.22217999999999999</v>
      </c>
      <c r="N5" s="31">
        <v>0.20099</v>
      </c>
      <c r="O5" s="7"/>
      <c r="W5" s="5"/>
      <c r="X5" s="61"/>
      <c r="Y5" s="61"/>
      <c r="Z5" s="5"/>
      <c r="AA5" s="5"/>
      <c r="AC5" s="302"/>
      <c r="AD5" s="259"/>
      <c r="AE5" s="7" t="s">
        <v>137</v>
      </c>
      <c r="AF5" s="7" t="s">
        <v>123</v>
      </c>
      <c r="AG5" s="11">
        <v>1.72E-3</v>
      </c>
      <c r="AH5" s="7"/>
      <c r="AI5" s="7"/>
      <c r="AJ5" s="7"/>
      <c r="AK5" s="6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5"/>
      <c r="AY5" s="5"/>
      <c r="AZ5" s="5"/>
      <c r="BA5" s="5"/>
    </row>
    <row r="6" spans="1:53" x14ac:dyDescent="0.45">
      <c r="A6" s="2"/>
      <c r="H6" s="299"/>
      <c r="I6" s="25" t="s">
        <v>112</v>
      </c>
      <c r="J6" s="21" t="s">
        <v>99</v>
      </c>
      <c r="K6" s="30">
        <v>0.14831</v>
      </c>
      <c r="L6" s="30">
        <v>0.18537999999999999</v>
      </c>
      <c r="M6" s="30">
        <v>0.22245999999999999</v>
      </c>
      <c r="N6" s="31">
        <v>0.18537999999999999</v>
      </c>
      <c r="O6" s="7"/>
      <c r="P6" s="7"/>
      <c r="Q6" s="7"/>
      <c r="R6" s="5"/>
      <c r="S6" s="7"/>
      <c r="T6" s="7"/>
      <c r="U6" s="7"/>
      <c r="V6" s="7"/>
      <c r="AC6" s="302"/>
      <c r="AD6" s="259"/>
      <c r="AE6" s="7" t="s">
        <v>138</v>
      </c>
      <c r="AF6" s="7" t="s">
        <v>123</v>
      </c>
      <c r="AG6" s="11">
        <v>2.0899999999999998E-3</v>
      </c>
      <c r="AH6" s="7"/>
      <c r="AI6" s="7"/>
      <c r="AJ6" s="7"/>
      <c r="AK6" s="6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5"/>
      <c r="AY6" s="5"/>
      <c r="AZ6" s="5"/>
      <c r="BA6" s="5"/>
    </row>
    <row r="7" spans="1:53" x14ac:dyDescent="0.45">
      <c r="A7" s="6"/>
      <c r="B7" s="4"/>
      <c r="D7" s="5"/>
      <c r="E7" s="5"/>
      <c r="F7" s="5"/>
      <c r="G7" s="5"/>
      <c r="H7" s="299"/>
      <c r="I7" s="25" t="s">
        <v>113</v>
      </c>
      <c r="J7" s="21" t="s">
        <v>99</v>
      </c>
      <c r="K7" s="30">
        <v>0.15178</v>
      </c>
      <c r="L7" s="30">
        <v>0.20236999999999999</v>
      </c>
      <c r="M7" s="30">
        <v>0.25296000000000002</v>
      </c>
      <c r="N7" s="31">
        <v>0.22058</v>
      </c>
      <c r="O7" s="7"/>
      <c r="P7" s="7"/>
      <c r="Q7" s="7"/>
      <c r="R7" s="5"/>
      <c r="S7" s="7"/>
      <c r="T7" s="7"/>
      <c r="U7" s="7"/>
      <c r="V7" s="7"/>
      <c r="AC7" s="302"/>
      <c r="AD7" s="259"/>
      <c r="AE7" s="7" t="s">
        <v>139</v>
      </c>
      <c r="AF7" s="7" t="s">
        <v>123</v>
      </c>
      <c r="AG7" s="11">
        <v>7.6400000000000001E-3</v>
      </c>
      <c r="AH7" s="7"/>
      <c r="AI7" s="7"/>
      <c r="AN7" s="7"/>
      <c r="AO7" s="7"/>
      <c r="AP7" s="7"/>
      <c r="AQ7" s="7"/>
      <c r="AR7" s="7"/>
      <c r="AS7" s="7"/>
      <c r="AT7" s="5"/>
      <c r="AU7" s="5"/>
      <c r="AV7" s="5"/>
      <c r="AW7" s="5"/>
      <c r="AX7" s="5"/>
      <c r="AY7" s="5"/>
      <c r="AZ7" s="5"/>
      <c r="BA7" s="5"/>
    </row>
    <row r="8" spans="1:53" x14ac:dyDescent="0.45">
      <c r="A8" s="83"/>
      <c r="B8" s="5"/>
      <c r="C8" s="5"/>
      <c r="D8" s="7"/>
      <c r="E8" s="7"/>
      <c r="F8" s="7"/>
      <c r="G8" s="7"/>
      <c r="H8" s="299"/>
      <c r="I8" s="25" t="s">
        <v>114</v>
      </c>
      <c r="J8" s="21" t="s">
        <v>99</v>
      </c>
      <c r="K8" s="30">
        <v>0.15162</v>
      </c>
      <c r="L8" s="30">
        <v>0.20158999999999999</v>
      </c>
      <c r="M8" s="30">
        <v>0.25157000000000002</v>
      </c>
      <c r="N8" s="31">
        <v>0.21898000000000001</v>
      </c>
      <c r="O8" s="7"/>
      <c r="P8" s="7"/>
      <c r="Q8" s="7"/>
      <c r="R8" s="5"/>
      <c r="S8" s="7"/>
      <c r="T8" s="7"/>
      <c r="U8" s="7"/>
      <c r="V8" s="7"/>
      <c r="AC8" s="302"/>
      <c r="AD8" s="259"/>
      <c r="AE8" s="7" t="s">
        <v>140</v>
      </c>
      <c r="AF8" s="7" t="s">
        <v>123</v>
      </c>
      <c r="AG8" s="11">
        <v>1.0399999999999999E-3</v>
      </c>
      <c r="AH8" s="7"/>
      <c r="AI8" s="7"/>
      <c r="AN8" s="7"/>
      <c r="AO8" s="7"/>
      <c r="AP8" s="7"/>
      <c r="AQ8" s="7"/>
      <c r="AR8" s="7"/>
      <c r="AS8" s="7"/>
      <c r="AT8" s="5"/>
      <c r="AU8" s="5"/>
      <c r="AV8" s="5"/>
      <c r="AW8" s="5"/>
      <c r="AX8" s="5"/>
      <c r="AY8" s="5"/>
      <c r="AZ8" s="5"/>
      <c r="BA8" s="5"/>
    </row>
    <row r="9" spans="1:53" x14ac:dyDescent="0.45">
      <c r="A9" s="83"/>
      <c r="B9" s="5"/>
      <c r="C9" s="5"/>
      <c r="D9" s="7"/>
      <c r="E9" s="7"/>
      <c r="F9" s="7"/>
      <c r="G9" s="7"/>
      <c r="H9" s="300"/>
      <c r="I9" s="26" t="s">
        <v>115</v>
      </c>
      <c r="J9" s="23" t="s">
        <v>99</v>
      </c>
      <c r="K9" s="32">
        <v>0.15526999999999999</v>
      </c>
      <c r="L9" s="32">
        <v>0.19733999999999999</v>
      </c>
      <c r="M9" s="32">
        <v>0.23941999999999999</v>
      </c>
      <c r="N9" s="33">
        <v>0.21154000000000001</v>
      </c>
      <c r="O9" s="7"/>
      <c r="P9" s="7"/>
      <c r="Q9" s="7"/>
      <c r="R9" s="5"/>
      <c r="S9" s="7"/>
      <c r="T9" s="7"/>
      <c r="U9" s="7"/>
      <c r="V9" s="7"/>
      <c r="AC9" s="302"/>
      <c r="AD9" s="259" t="s">
        <v>141</v>
      </c>
      <c r="AE9" s="7" t="s">
        <v>142</v>
      </c>
      <c r="AF9" s="7" t="s">
        <v>123</v>
      </c>
      <c r="AG9" s="11">
        <v>1.31E-3</v>
      </c>
      <c r="AN9" s="7"/>
      <c r="AO9" s="7"/>
      <c r="AP9" s="7"/>
      <c r="AQ9" s="7"/>
      <c r="AR9" s="7"/>
      <c r="AS9" s="7"/>
      <c r="AT9" s="5"/>
      <c r="AU9" s="5"/>
      <c r="AV9" s="5"/>
      <c r="AW9" s="5"/>
      <c r="AX9" s="5"/>
      <c r="AY9" s="5"/>
      <c r="AZ9" s="5"/>
      <c r="BA9" s="5"/>
    </row>
    <row r="10" spans="1:53" x14ac:dyDescent="0.45">
      <c r="A10" s="83"/>
      <c r="B10" s="5"/>
      <c r="C10" s="5"/>
      <c r="D10" s="7"/>
      <c r="E10" s="7"/>
      <c r="F10" s="7"/>
      <c r="G10" s="7"/>
      <c r="O10" s="7"/>
      <c r="P10" s="7"/>
      <c r="Q10" s="7"/>
      <c r="R10" s="5"/>
      <c r="S10" s="7"/>
      <c r="T10" s="7"/>
      <c r="U10" s="7"/>
      <c r="V10" s="7"/>
      <c r="AC10" s="302"/>
      <c r="AD10" s="259"/>
      <c r="AE10" s="7" t="s">
        <v>143</v>
      </c>
      <c r="AF10" s="7" t="s">
        <v>123</v>
      </c>
      <c r="AG10" s="11">
        <v>2.3600000000000001E-3</v>
      </c>
      <c r="AN10" s="7"/>
      <c r="AO10" s="7"/>
      <c r="AP10" s="7"/>
      <c r="AQ10" s="7"/>
      <c r="AR10" s="7"/>
      <c r="AS10" s="7"/>
      <c r="AT10" s="5"/>
      <c r="AU10" s="5"/>
      <c r="AV10" s="5"/>
      <c r="AW10" s="5"/>
      <c r="AX10" s="5"/>
      <c r="AY10" s="5"/>
      <c r="AZ10" s="5"/>
      <c r="BA10" s="5"/>
    </row>
    <row r="11" spans="1:53" x14ac:dyDescent="0.45">
      <c r="A11" s="84"/>
      <c r="B11" s="5"/>
      <c r="C11" s="5"/>
      <c r="D11" s="7"/>
      <c r="E11" s="7"/>
      <c r="F11" s="7"/>
      <c r="G11" s="7"/>
      <c r="H11" s="301" t="s">
        <v>116</v>
      </c>
      <c r="I11" s="24" t="s">
        <v>108</v>
      </c>
      <c r="J11" s="22" t="s">
        <v>99</v>
      </c>
      <c r="K11" s="28">
        <v>0.13155</v>
      </c>
      <c r="L11" s="28">
        <v>0.14299000000000001</v>
      </c>
      <c r="M11" s="28">
        <v>0.15442</v>
      </c>
      <c r="N11" s="29">
        <v>0.14138000000000001</v>
      </c>
      <c r="AC11" s="302"/>
      <c r="AD11" s="259"/>
      <c r="AE11" s="7" t="s">
        <v>144</v>
      </c>
      <c r="AF11" s="7" t="s">
        <v>123</v>
      </c>
      <c r="AG11" s="11">
        <v>4.2900000000000004E-3</v>
      </c>
    </row>
    <row r="12" spans="1:53" x14ac:dyDescent="0.45">
      <c r="A12" s="83"/>
      <c r="B12" s="5"/>
      <c r="C12" s="5"/>
      <c r="D12" s="7"/>
      <c r="E12" s="7"/>
      <c r="F12" s="7"/>
      <c r="G12" s="7"/>
      <c r="H12" s="302"/>
      <c r="I12" s="25" t="s">
        <v>109</v>
      </c>
      <c r="J12" s="21" t="s">
        <v>99</v>
      </c>
      <c r="K12" s="30">
        <v>0.15756000000000001</v>
      </c>
      <c r="L12" s="30">
        <v>0.18007000000000001</v>
      </c>
      <c r="M12" s="30">
        <v>0.20258000000000001</v>
      </c>
      <c r="N12" s="31">
        <v>0.17241999999999999</v>
      </c>
      <c r="AC12" s="302"/>
      <c r="AD12" s="259"/>
      <c r="AE12" s="7" t="s">
        <v>145</v>
      </c>
      <c r="AF12" s="7" t="s">
        <v>123</v>
      </c>
      <c r="AG12" s="11">
        <v>6.7000000000000002E-3</v>
      </c>
    </row>
    <row r="13" spans="1:53" x14ac:dyDescent="0.45">
      <c r="A13" s="83"/>
      <c r="B13" s="5"/>
      <c r="C13" s="5"/>
      <c r="D13" s="7"/>
      <c r="E13" s="7"/>
      <c r="F13" s="7"/>
      <c r="G13" s="7"/>
      <c r="H13" s="302"/>
      <c r="I13" s="25" t="s">
        <v>110</v>
      </c>
      <c r="J13" s="21" t="s">
        <v>99</v>
      </c>
      <c r="K13" s="30">
        <v>0.21678</v>
      </c>
      <c r="L13" s="30">
        <v>0.26436999999999999</v>
      </c>
      <c r="M13" s="30">
        <v>0.31196000000000002</v>
      </c>
      <c r="N13" s="31">
        <v>0.28339999999999999</v>
      </c>
      <c r="AC13" s="302"/>
      <c r="AD13" s="259"/>
      <c r="AE13" s="7" t="s">
        <v>146</v>
      </c>
      <c r="AF13" s="7" t="s">
        <v>123</v>
      </c>
      <c r="AG13" s="11">
        <v>1.0330000000000001E-2</v>
      </c>
    </row>
    <row r="14" spans="1:53" ht="15" customHeight="1" x14ac:dyDescent="0.45">
      <c r="A14" s="83"/>
      <c r="B14" s="5"/>
      <c r="C14" s="5"/>
      <c r="D14" s="7"/>
      <c r="E14" s="7"/>
      <c r="F14" s="7"/>
      <c r="G14" s="7"/>
      <c r="H14" s="302"/>
      <c r="I14" s="25" t="s">
        <v>111</v>
      </c>
      <c r="J14" s="21" t="s">
        <v>99</v>
      </c>
      <c r="K14" s="30">
        <v>0.19139999999999999</v>
      </c>
      <c r="L14" s="30">
        <v>0.22822999999999999</v>
      </c>
      <c r="M14" s="30">
        <v>0.26506000000000002</v>
      </c>
      <c r="N14" s="31">
        <v>0.23977999999999999</v>
      </c>
      <c r="AC14" s="302"/>
      <c r="AD14" s="259"/>
      <c r="AE14" s="7" t="s">
        <v>140</v>
      </c>
      <c r="AF14" s="7" t="s">
        <v>123</v>
      </c>
      <c r="AG14" s="11">
        <v>2.0500000000000002E-3</v>
      </c>
    </row>
    <row r="15" spans="1:53" x14ac:dyDescent="0.45">
      <c r="A15" s="83"/>
      <c r="B15" s="5"/>
      <c r="C15" s="5"/>
      <c r="D15" s="7"/>
      <c r="E15" s="7"/>
      <c r="F15" s="7"/>
      <c r="G15" s="7"/>
      <c r="H15" s="302"/>
      <c r="I15" s="25" t="s">
        <v>112</v>
      </c>
      <c r="J15" s="21" t="s">
        <v>99</v>
      </c>
      <c r="K15" s="30">
        <v>0.17199</v>
      </c>
      <c r="L15" s="30">
        <v>0.21498999999999999</v>
      </c>
      <c r="M15" s="30">
        <v>0.25799</v>
      </c>
      <c r="N15" s="31">
        <v>0.21498999999999999</v>
      </c>
      <c r="AC15" s="302"/>
      <c r="AD15" s="259" t="s">
        <v>147</v>
      </c>
      <c r="AE15" s="7" t="s">
        <v>148</v>
      </c>
      <c r="AF15" s="7" t="s">
        <v>123</v>
      </c>
      <c r="AG15" s="11">
        <v>1.9300000000000001E-3</v>
      </c>
    </row>
    <row r="16" spans="1:53" x14ac:dyDescent="0.45">
      <c r="D16" s="5"/>
      <c r="E16" s="5"/>
      <c r="F16" s="5"/>
      <c r="G16" s="5"/>
      <c r="H16" s="302"/>
      <c r="I16" s="25" t="s">
        <v>113</v>
      </c>
      <c r="J16" s="21" t="s">
        <v>99</v>
      </c>
      <c r="K16" s="30">
        <v>0.17602000000000001</v>
      </c>
      <c r="L16" s="30">
        <v>0.23469000000000001</v>
      </c>
      <c r="M16" s="30">
        <v>0.29336000000000001</v>
      </c>
      <c r="N16" s="31">
        <v>0.25580999999999998</v>
      </c>
      <c r="AC16" s="302"/>
      <c r="AD16" s="259"/>
      <c r="AE16" s="7" t="s">
        <v>144</v>
      </c>
      <c r="AF16" s="7" t="s">
        <v>123</v>
      </c>
      <c r="AG16" s="11">
        <v>2.48E-3</v>
      </c>
    </row>
    <row r="17" spans="1:33" x14ac:dyDescent="0.45">
      <c r="A17" s="83"/>
      <c r="B17" s="5"/>
      <c r="C17" s="5"/>
      <c r="D17" s="7"/>
      <c r="E17" s="7"/>
      <c r="F17" s="7"/>
      <c r="G17" s="7"/>
      <c r="H17" s="302"/>
      <c r="I17" s="25" t="s">
        <v>114</v>
      </c>
      <c r="J17" s="21" t="s">
        <v>99</v>
      </c>
      <c r="K17" s="30">
        <v>0.17582999999999999</v>
      </c>
      <c r="L17" s="30">
        <v>0.23379</v>
      </c>
      <c r="M17" s="30">
        <v>0.29175000000000001</v>
      </c>
      <c r="N17" s="31">
        <v>0.25395000000000001</v>
      </c>
      <c r="AC17" s="302"/>
      <c r="AD17" s="259"/>
      <c r="AE17" s="7" t="s">
        <v>145</v>
      </c>
      <c r="AF17" s="7" t="s">
        <v>123</v>
      </c>
      <c r="AG17" s="11">
        <v>3.47E-3</v>
      </c>
    </row>
    <row r="18" spans="1:33" x14ac:dyDescent="0.45">
      <c r="A18" s="83"/>
      <c r="B18" s="5"/>
      <c r="C18" s="5"/>
      <c r="D18" s="7"/>
      <c r="E18" s="7"/>
      <c r="F18" s="7"/>
      <c r="G18" s="7"/>
      <c r="H18" s="303"/>
      <c r="I18" s="26" t="s">
        <v>115</v>
      </c>
      <c r="J18" s="23" t="s">
        <v>99</v>
      </c>
      <c r="K18" s="32">
        <v>0.1822</v>
      </c>
      <c r="L18" s="32">
        <v>0.23157</v>
      </c>
      <c r="M18" s="32">
        <v>0.28094999999999998</v>
      </c>
      <c r="N18" s="33">
        <v>0.24823999999999999</v>
      </c>
      <c r="AC18" s="302"/>
      <c r="AD18" s="259"/>
      <c r="AE18" s="7" t="s">
        <v>146</v>
      </c>
      <c r="AF18" s="7" t="s">
        <v>123</v>
      </c>
      <c r="AG18" s="11">
        <v>5.1000000000000004E-3</v>
      </c>
    </row>
    <row r="19" spans="1:33" x14ac:dyDescent="0.45">
      <c r="A19" s="83"/>
      <c r="B19" s="5"/>
      <c r="C19" s="5"/>
      <c r="D19" s="7"/>
      <c r="E19" s="7"/>
      <c r="F19" s="7"/>
      <c r="G19" s="7"/>
      <c r="AC19" s="302"/>
      <c r="AD19" s="259"/>
      <c r="AE19" s="7" t="s">
        <v>140</v>
      </c>
      <c r="AF19" s="7" t="s">
        <v>123</v>
      </c>
      <c r="AG19" s="11">
        <v>2.3400000000000001E-3</v>
      </c>
    </row>
    <row r="20" spans="1:33" x14ac:dyDescent="0.45">
      <c r="A20" s="84"/>
      <c r="B20" s="5"/>
      <c r="C20" s="5"/>
      <c r="D20" s="7"/>
      <c r="E20" s="7"/>
      <c r="F20" s="7"/>
      <c r="G20" s="7"/>
      <c r="AC20" s="302"/>
      <c r="AD20" s="259" t="s">
        <v>149</v>
      </c>
      <c r="AE20" s="7" t="s">
        <v>150</v>
      </c>
      <c r="AF20" s="7" t="s">
        <v>123</v>
      </c>
      <c r="AG20" s="11">
        <v>2.14E-3</v>
      </c>
    </row>
    <row r="21" spans="1:33" x14ac:dyDescent="0.45">
      <c r="A21" s="84"/>
      <c r="B21" s="5"/>
      <c r="C21" s="5"/>
      <c r="D21" s="7"/>
      <c r="E21" s="7"/>
      <c r="F21" s="7"/>
      <c r="G21" s="7"/>
      <c r="AC21" s="302"/>
      <c r="AD21" s="259"/>
      <c r="AE21" s="7" t="s">
        <v>151</v>
      </c>
      <c r="AF21" s="7" t="s">
        <v>123</v>
      </c>
      <c r="AG21" s="11">
        <v>3.3300000000000001E-3</v>
      </c>
    </row>
    <row r="22" spans="1:33" x14ac:dyDescent="0.45">
      <c r="A22" s="83"/>
      <c r="B22" s="5"/>
      <c r="C22" s="5"/>
      <c r="D22" s="7"/>
      <c r="E22" s="7"/>
      <c r="F22" s="7"/>
      <c r="G22" s="7"/>
      <c r="AC22" s="302"/>
      <c r="AD22" s="259"/>
      <c r="AE22" s="7" t="s">
        <v>140</v>
      </c>
      <c r="AF22" s="7" t="s">
        <v>123</v>
      </c>
      <c r="AG22" s="11">
        <v>2.6199999999999999E-3</v>
      </c>
    </row>
    <row r="23" spans="1:33" x14ac:dyDescent="0.45">
      <c r="A23" s="83"/>
      <c r="B23" s="5"/>
      <c r="C23" s="5"/>
      <c r="D23" s="7"/>
      <c r="E23" s="7"/>
      <c r="F23" s="7"/>
      <c r="G23" s="7"/>
      <c r="AC23" s="302"/>
      <c r="AD23" s="259" t="s">
        <v>152</v>
      </c>
      <c r="AE23" s="7" t="s">
        <v>153</v>
      </c>
      <c r="AF23" s="7" t="s">
        <v>123</v>
      </c>
      <c r="AG23" s="11">
        <v>2.0699999999999998E-3</v>
      </c>
    </row>
    <row r="24" spans="1:33" x14ac:dyDescent="0.45">
      <c r="A24" s="83"/>
      <c r="B24" s="5"/>
      <c r="C24" s="5"/>
      <c r="D24" s="7"/>
      <c r="E24" s="7"/>
      <c r="F24" s="7"/>
      <c r="G24" s="7"/>
      <c r="AC24" s="302"/>
      <c r="AD24" s="259"/>
      <c r="AE24" s="7" t="s">
        <v>154</v>
      </c>
      <c r="AF24" s="7" t="s">
        <v>123</v>
      </c>
      <c r="AG24" s="11">
        <v>9.9900000000000006E-3</v>
      </c>
    </row>
    <row r="25" spans="1:33" x14ac:dyDescent="0.45">
      <c r="G25" s="6"/>
      <c r="AC25" s="303"/>
      <c r="AD25" s="297"/>
      <c r="AE25" s="13" t="s">
        <v>140</v>
      </c>
      <c r="AF25" s="13" t="s">
        <v>123</v>
      </c>
      <c r="AG25" s="14">
        <v>2.3500000000000001E-3</v>
      </c>
    </row>
    <row r="26" spans="1:33" x14ac:dyDescent="0.45">
      <c r="AG26" s="5"/>
    </row>
    <row r="27" spans="1:33" x14ac:dyDescent="0.45">
      <c r="A27" s="87"/>
      <c r="D27" s="6"/>
      <c r="AC27" s="301" t="s">
        <v>155</v>
      </c>
      <c r="AD27" s="296" t="s">
        <v>156</v>
      </c>
      <c r="AE27" s="9" t="s">
        <v>134</v>
      </c>
      <c r="AF27" s="9" t="s">
        <v>123</v>
      </c>
      <c r="AG27" s="10">
        <v>5.6999999999999998E-4</v>
      </c>
    </row>
    <row r="28" spans="1:33" x14ac:dyDescent="0.45">
      <c r="A28" s="87"/>
      <c r="D28" s="88"/>
      <c r="E28" s="88"/>
      <c r="AC28" s="302"/>
      <c r="AD28" s="259"/>
      <c r="AE28" s="7" t="s">
        <v>157</v>
      </c>
      <c r="AF28" s="7" t="s">
        <v>123</v>
      </c>
      <c r="AG28" s="11">
        <v>6.8999999999999997E-4</v>
      </c>
    </row>
    <row r="29" spans="1:33" x14ac:dyDescent="0.45">
      <c r="A29" s="87"/>
      <c r="D29" s="88"/>
      <c r="E29" s="88"/>
      <c r="AC29" s="302"/>
      <c r="AD29" s="259"/>
      <c r="AE29" s="7" t="s">
        <v>158</v>
      </c>
      <c r="AF29" s="7" t="s">
        <v>123</v>
      </c>
      <c r="AG29" s="11">
        <v>9.3999999999999997E-4</v>
      </c>
    </row>
    <row r="30" spans="1:33" x14ac:dyDescent="0.45">
      <c r="AC30" s="302"/>
      <c r="AD30" s="259"/>
      <c r="AE30" s="7" t="s">
        <v>159</v>
      </c>
      <c r="AF30" s="7" t="s">
        <v>123</v>
      </c>
      <c r="AG30" s="11">
        <v>1.31E-3</v>
      </c>
    </row>
    <row r="31" spans="1:33" x14ac:dyDescent="0.45">
      <c r="A31" s="87"/>
      <c r="D31" s="6"/>
      <c r="AC31" s="302"/>
      <c r="AD31" s="259"/>
      <c r="AE31" s="7" t="s">
        <v>160</v>
      </c>
      <c r="AF31" s="7" t="s">
        <v>123</v>
      </c>
      <c r="AG31" s="11">
        <v>1.81E-3</v>
      </c>
    </row>
    <row r="32" spans="1:33" x14ac:dyDescent="0.45">
      <c r="AC32" s="302"/>
      <c r="AD32" s="259"/>
      <c r="AE32" s="7" t="s">
        <v>139</v>
      </c>
      <c r="AF32" s="7" t="s">
        <v>123</v>
      </c>
      <c r="AG32" s="11">
        <v>6.7000000000000002E-3</v>
      </c>
    </row>
    <row r="33" spans="1:33" x14ac:dyDescent="0.45">
      <c r="B33" s="2"/>
      <c r="AC33" s="302"/>
      <c r="AD33" s="259"/>
      <c r="AE33" s="7" t="s">
        <v>140</v>
      </c>
      <c r="AF33" s="7" t="s">
        <v>123</v>
      </c>
      <c r="AG33" s="11">
        <v>8.0000000000000004E-4</v>
      </c>
    </row>
    <row r="34" spans="1:33" x14ac:dyDescent="0.45">
      <c r="A34" s="89"/>
      <c r="B34" s="90"/>
      <c r="C34" s="6"/>
      <c r="D34" s="6"/>
      <c r="E34" s="6"/>
      <c r="AC34" s="302"/>
      <c r="AD34" s="259" t="s">
        <v>161</v>
      </c>
      <c r="AE34" s="7" t="s">
        <v>162</v>
      </c>
      <c r="AF34" s="7" t="s">
        <v>123</v>
      </c>
      <c r="AG34" s="11">
        <v>2.7299999999999998E-3</v>
      </c>
    </row>
    <row r="35" spans="1:33" x14ac:dyDescent="0.45">
      <c r="A35" s="89"/>
      <c r="B35" s="90"/>
      <c r="C35" s="6"/>
      <c r="D35" s="6"/>
      <c r="E35" s="6"/>
      <c r="AC35" s="302"/>
      <c r="AD35" s="259"/>
      <c r="AE35" s="7" t="s">
        <v>145</v>
      </c>
      <c r="AF35" s="7" t="s">
        <v>123</v>
      </c>
      <c r="AG35" s="11">
        <v>3.63E-3</v>
      </c>
    </row>
    <row r="36" spans="1:33" x14ac:dyDescent="0.45">
      <c r="A36" s="89"/>
      <c r="B36" s="90"/>
      <c r="C36" s="6"/>
      <c r="D36" s="6"/>
      <c r="E36" s="6"/>
      <c r="AC36" s="302"/>
      <c r="AD36" s="259"/>
      <c r="AE36" s="7" t="s">
        <v>146</v>
      </c>
      <c r="AF36" s="7" t="s">
        <v>123</v>
      </c>
      <c r="AG36" s="11">
        <v>3.1900000000000001E-3</v>
      </c>
    </row>
    <row r="37" spans="1:33" x14ac:dyDescent="0.45">
      <c r="A37" s="89"/>
      <c r="B37" s="90"/>
      <c r="C37" s="6"/>
      <c r="D37" s="6"/>
      <c r="E37" s="6"/>
      <c r="AC37" s="302"/>
      <c r="AD37" s="259"/>
      <c r="AE37" s="7" t="s">
        <v>163</v>
      </c>
      <c r="AF37" s="7" t="s">
        <v>123</v>
      </c>
      <c r="AG37" s="11">
        <v>2.5300000000000001E-3</v>
      </c>
    </row>
    <row r="38" spans="1:33" x14ac:dyDescent="0.45">
      <c r="A38" s="89"/>
      <c r="B38" s="90"/>
      <c r="C38" s="6"/>
      <c r="D38" s="6"/>
      <c r="E38" s="6"/>
      <c r="AC38" s="302"/>
      <c r="AD38" s="259"/>
      <c r="AE38" s="7" t="s">
        <v>164</v>
      </c>
      <c r="AF38" s="7" t="s">
        <v>123</v>
      </c>
      <c r="AG38" s="11">
        <v>4.0200000000000001E-3</v>
      </c>
    </row>
    <row r="39" spans="1:33" x14ac:dyDescent="0.45">
      <c r="A39" s="89"/>
      <c r="B39" s="90"/>
      <c r="C39" s="6"/>
      <c r="D39" s="6"/>
      <c r="E39" s="6"/>
      <c r="AC39" s="302"/>
      <c r="AD39" s="259"/>
      <c r="AE39" s="7" t="s">
        <v>165</v>
      </c>
      <c r="AF39" s="7" t="s">
        <v>123</v>
      </c>
      <c r="AG39" s="11">
        <v>4.5500000000000002E-3</v>
      </c>
    </row>
    <row r="40" spans="1:33" x14ac:dyDescent="0.45">
      <c r="A40" s="89"/>
      <c r="B40" s="90"/>
      <c r="C40" s="6"/>
      <c r="D40" s="6"/>
      <c r="E40" s="6"/>
      <c r="AC40" s="302"/>
      <c r="AD40" s="259"/>
      <c r="AE40" s="7" t="s">
        <v>140</v>
      </c>
      <c r="AF40" s="7" t="s">
        <v>123</v>
      </c>
      <c r="AG40" s="11">
        <v>3.0000000000000001E-3</v>
      </c>
    </row>
    <row r="41" spans="1:33" x14ac:dyDescent="0.45">
      <c r="A41" s="89"/>
      <c r="B41" s="90"/>
      <c r="C41" s="6"/>
      <c r="D41" s="6"/>
      <c r="E41" s="6"/>
      <c r="AC41" s="302"/>
      <c r="AD41" s="259" t="s">
        <v>166</v>
      </c>
      <c r="AE41" s="7" t="s">
        <v>167</v>
      </c>
      <c r="AF41" s="7" t="s">
        <v>123</v>
      </c>
      <c r="AG41" s="11">
        <v>2.8700000000000002E-3</v>
      </c>
    </row>
    <row r="42" spans="1:33" ht="15" customHeight="1" x14ac:dyDescent="0.45">
      <c r="A42" s="89"/>
      <c r="B42" s="90"/>
      <c r="C42" s="6"/>
      <c r="D42" s="6"/>
      <c r="E42" s="6"/>
      <c r="AC42" s="302"/>
      <c r="AD42" s="259"/>
      <c r="AE42" s="7" t="s">
        <v>168</v>
      </c>
      <c r="AF42" s="7" t="s">
        <v>123</v>
      </c>
      <c r="AG42" s="11">
        <v>3.81E-3</v>
      </c>
    </row>
    <row r="43" spans="1:33" x14ac:dyDescent="0.45">
      <c r="A43" s="89"/>
      <c r="B43" s="90"/>
      <c r="C43" s="6"/>
      <c r="D43" s="6"/>
      <c r="E43" s="6"/>
      <c r="AC43" s="302"/>
      <c r="AD43" s="259"/>
      <c r="AE43" s="7" t="s">
        <v>169</v>
      </c>
      <c r="AF43" s="7" t="s">
        <v>123</v>
      </c>
      <c r="AG43" s="11">
        <v>3.81E-3</v>
      </c>
    </row>
    <row r="44" spans="1:33" x14ac:dyDescent="0.45">
      <c r="A44" s="89"/>
      <c r="B44" s="90"/>
      <c r="C44" s="6"/>
      <c r="D44" s="6"/>
      <c r="E44" s="6"/>
      <c r="AC44" s="302"/>
      <c r="AD44" s="259"/>
      <c r="AE44" s="7" t="s">
        <v>170</v>
      </c>
      <c r="AF44" s="7" t="s">
        <v>123</v>
      </c>
      <c r="AG44" s="11">
        <v>4.5900000000000003E-3</v>
      </c>
    </row>
    <row r="45" spans="1:33" x14ac:dyDescent="0.45">
      <c r="A45" s="89"/>
      <c r="B45" s="90"/>
      <c r="C45" s="6"/>
      <c r="D45" s="6"/>
      <c r="E45" s="6"/>
      <c r="AC45" s="302"/>
      <c r="AD45" s="259"/>
      <c r="AE45" s="7" t="s">
        <v>171</v>
      </c>
      <c r="AF45" s="7" t="s">
        <v>123</v>
      </c>
      <c r="AG45" s="11">
        <v>7.3699999999999998E-3</v>
      </c>
    </row>
    <row r="46" spans="1:33" x14ac:dyDescent="0.45">
      <c r="A46" s="89"/>
      <c r="B46" s="90"/>
      <c r="C46" s="6"/>
      <c r="D46" s="6"/>
      <c r="E46" s="6"/>
      <c r="AC46" s="302"/>
      <c r="AD46" s="259"/>
      <c r="AE46" s="7" t="s">
        <v>172</v>
      </c>
      <c r="AF46" s="7" t="s">
        <v>123</v>
      </c>
      <c r="AG46" s="11">
        <v>8.3300000000000006E-3</v>
      </c>
    </row>
    <row r="47" spans="1:33" x14ac:dyDescent="0.45">
      <c r="A47" s="89"/>
      <c r="B47" s="90"/>
      <c r="C47" s="6"/>
      <c r="D47" s="6"/>
      <c r="E47" s="6"/>
      <c r="AC47" s="302"/>
      <c r="AD47" s="259"/>
      <c r="AE47" s="7" t="s">
        <v>140</v>
      </c>
      <c r="AF47" s="7" t="s">
        <v>123</v>
      </c>
      <c r="AG47" s="11">
        <v>3.65E-3</v>
      </c>
    </row>
    <row r="48" spans="1:33" x14ac:dyDescent="0.45">
      <c r="A48" s="89"/>
      <c r="B48" s="90"/>
      <c r="C48" s="6"/>
      <c r="D48" s="6"/>
      <c r="E48" s="6"/>
      <c r="AC48" s="302"/>
      <c r="AD48" s="259" t="s">
        <v>173</v>
      </c>
      <c r="AE48" s="7" t="s">
        <v>174</v>
      </c>
      <c r="AF48" s="7" t="s">
        <v>123</v>
      </c>
      <c r="AG48" s="11">
        <v>7.3499999999999998E-3</v>
      </c>
    </row>
    <row r="49" spans="1:33" x14ac:dyDescent="0.45">
      <c r="A49" s="89"/>
      <c r="B49" s="90"/>
      <c r="C49" s="6"/>
      <c r="D49" s="6"/>
      <c r="E49" s="6"/>
      <c r="AC49" s="302"/>
      <c r="AD49" s="259"/>
      <c r="AE49" s="7" t="s">
        <v>175</v>
      </c>
      <c r="AF49" s="7" t="s">
        <v>123</v>
      </c>
      <c r="AG49" s="11">
        <v>1.3220000000000001E-2</v>
      </c>
    </row>
    <row r="50" spans="1:33" x14ac:dyDescent="0.45">
      <c r="A50" s="89"/>
      <c r="B50" s="90"/>
      <c r="C50" s="6"/>
      <c r="D50" s="6"/>
      <c r="E50" s="6"/>
      <c r="AC50" s="302"/>
      <c r="AD50" s="259"/>
      <c r="AE50" s="7" t="s">
        <v>140</v>
      </c>
      <c r="AF50" s="7" t="s">
        <v>123</v>
      </c>
      <c r="AG50" s="11">
        <v>8.7299999999999999E-3</v>
      </c>
    </row>
    <row r="51" spans="1:33" x14ac:dyDescent="0.45">
      <c r="A51" s="89"/>
      <c r="B51" s="90"/>
      <c r="C51" s="6"/>
      <c r="D51" s="6"/>
      <c r="E51" s="6"/>
      <c r="AC51" s="302"/>
      <c r="AD51" s="259" t="s">
        <v>176</v>
      </c>
      <c r="AE51" s="7" t="s">
        <v>177</v>
      </c>
      <c r="AF51" s="7" t="s">
        <v>123</v>
      </c>
      <c r="AG51" s="11">
        <v>1.136E-2</v>
      </c>
    </row>
    <row r="52" spans="1:33" x14ac:dyDescent="0.45">
      <c r="A52" s="89"/>
      <c r="B52" s="90"/>
      <c r="C52" s="6"/>
      <c r="D52" s="6"/>
      <c r="E52" s="6"/>
      <c r="AC52" s="302"/>
      <c r="AD52" s="259"/>
      <c r="AE52" s="7" t="s">
        <v>178</v>
      </c>
      <c r="AF52" s="7" t="s">
        <v>123</v>
      </c>
      <c r="AG52" s="11">
        <v>1.384E-2</v>
      </c>
    </row>
    <row r="53" spans="1:33" x14ac:dyDescent="0.45">
      <c r="A53" s="89"/>
      <c r="B53" s="90"/>
      <c r="C53" s="6"/>
      <c r="D53" s="6"/>
      <c r="E53" s="6"/>
      <c r="AC53" s="302"/>
      <c r="AD53" s="259"/>
      <c r="AE53" s="7" t="s">
        <v>140</v>
      </c>
      <c r="AF53" s="7" t="s">
        <v>123</v>
      </c>
      <c r="AG53" s="11">
        <v>1.17E-2</v>
      </c>
    </row>
    <row r="54" spans="1:33" x14ac:dyDescent="0.45">
      <c r="A54" s="89"/>
      <c r="B54" s="90"/>
      <c r="C54" s="6"/>
      <c r="D54" s="6"/>
      <c r="E54" s="6"/>
      <c r="AC54" s="302"/>
      <c r="AD54" s="19" t="s">
        <v>179</v>
      </c>
      <c r="AE54" s="7" t="s">
        <v>140</v>
      </c>
      <c r="AF54" s="7" t="s">
        <v>123</v>
      </c>
      <c r="AG54" s="11">
        <v>8.5279999999999995E-2</v>
      </c>
    </row>
    <row r="55" spans="1:33" x14ac:dyDescent="0.45">
      <c r="A55" s="89"/>
      <c r="B55" s="90"/>
      <c r="C55" s="6"/>
      <c r="D55" s="6"/>
      <c r="E55" s="6"/>
      <c r="AC55" s="303"/>
      <c r="AD55" s="20" t="s">
        <v>180</v>
      </c>
      <c r="AE55" s="13" t="s">
        <v>181</v>
      </c>
      <c r="AF55" s="13" t="s">
        <v>123</v>
      </c>
      <c r="AG55" s="14">
        <v>2.96E-3</v>
      </c>
    </row>
    <row r="56" spans="1:33" x14ac:dyDescent="0.45">
      <c r="A56" s="89"/>
      <c r="B56" s="90"/>
      <c r="C56" s="6"/>
      <c r="D56" s="6"/>
      <c r="E56" s="6"/>
    </row>
    <row r="57" spans="1:33" x14ac:dyDescent="0.45">
      <c r="A57" s="89"/>
      <c r="B57" s="90"/>
      <c r="C57" s="6"/>
      <c r="D57" s="6"/>
      <c r="E57" s="6"/>
    </row>
    <row r="59" spans="1:33" x14ac:dyDescent="0.45">
      <c r="A59" s="89"/>
      <c r="B59" s="90"/>
      <c r="C59" s="6"/>
      <c r="D59" s="6"/>
      <c r="E59" s="6"/>
    </row>
    <row r="60" spans="1:33" x14ac:dyDescent="0.45">
      <c r="A60" s="89"/>
      <c r="B60" s="90"/>
      <c r="C60" s="6"/>
      <c r="D60" s="6"/>
      <c r="E60" s="6"/>
    </row>
    <row r="61" spans="1:33" x14ac:dyDescent="0.45">
      <c r="A61" s="89"/>
      <c r="B61" s="90"/>
      <c r="C61" s="6"/>
      <c r="D61" s="6"/>
      <c r="E61" s="6"/>
    </row>
    <row r="62" spans="1:33" x14ac:dyDescent="0.45">
      <c r="A62" s="89"/>
      <c r="B62" s="90"/>
      <c r="C62" s="6"/>
      <c r="D62" s="6"/>
      <c r="E62" s="6"/>
    </row>
    <row r="63" spans="1:33" x14ac:dyDescent="0.45">
      <c r="A63" s="89"/>
      <c r="B63" s="90"/>
      <c r="C63" s="6"/>
      <c r="D63" s="6"/>
      <c r="E63" s="6"/>
    </row>
    <row r="64" spans="1:33" x14ac:dyDescent="0.45">
      <c r="A64" s="89"/>
      <c r="B64" s="90"/>
      <c r="C64" s="6"/>
      <c r="D64" s="6"/>
      <c r="E64" s="6"/>
    </row>
    <row r="65" spans="1:5" x14ac:dyDescent="0.45">
      <c r="A65" s="89"/>
      <c r="B65" s="90"/>
      <c r="C65" s="6"/>
      <c r="D65" s="6"/>
      <c r="E65" s="6"/>
    </row>
    <row r="66" spans="1:5" x14ac:dyDescent="0.45">
      <c r="A66" s="89"/>
      <c r="B66" s="90"/>
      <c r="C66" s="6"/>
      <c r="D66" s="6"/>
      <c r="E66" s="6"/>
    </row>
    <row r="67" spans="1:5" x14ac:dyDescent="0.45">
      <c r="A67" s="89"/>
      <c r="B67" s="90"/>
      <c r="C67" s="6"/>
      <c r="D67" s="6"/>
      <c r="E67" s="6"/>
    </row>
    <row r="68" spans="1:5" x14ac:dyDescent="0.45">
      <c r="A68" s="89"/>
      <c r="B68" s="90"/>
      <c r="C68" s="6"/>
      <c r="D68" s="6"/>
      <c r="E68" s="6"/>
    </row>
    <row r="69" spans="1:5" x14ac:dyDescent="0.45">
      <c r="A69" s="89"/>
      <c r="B69" s="90"/>
      <c r="C69" s="6"/>
      <c r="D69" s="6"/>
      <c r="E69" s="6"/>
    </row>
    <row r="70" spans="1:5" x14ac:dyDescent="0.45">
      <c r="A70" s="89"/>
      <c r="B70" s="90"/>
      <c r="C70" s="6"/>
      <c r="D70" s="6"/>
      <c r="E70" s="6"/>
    </row>
    <row r="71" spans="1:5" x14ac:dyDescent="0.45">
      <c r="A71" s="89"/>
      <c r="B71" s="90"/>
      <c r="C71" s="6"/>
      <c r="D71" s="6"/>
      <c r="E71" s="6"/>
    </row>
    <row r="72" spans="1:5" x14ac:dyDescent="0.45">
      <c r="A72" s="89"/>
      <c r="B72" s="90"/>
      <c r="C72" s="6"/>
      <c r="D72" s="6"/>
      <c r="E72" s="6"/>
    </row>
    <row r="73" spans="1:5" x14ac:dyDescent="0.45">
      <c r="A73" s="89"/>
      <c r="B73" s="90"/>
      <c r="C73" s="6"/>
      <c r="D73" s="6"/>
      <c r="E73" s="6"/>
    </row>
    <row r="74" spans="1:5" x14ac:dyDescent="0.45">
      <c r="A74" s="89"/>
      <c r="B74" s="90"/>
      <c r="C74" s="6"/>
      <c r="D74" s="6"/>
      <c r="E74" s="6"/>
    </row>
    <row r="75" spans="1:5" x14ac:dyDescent="0.45">
      <c r="A75" s="89"/>
      <c r="B75" s="90"/>
      <c r="C75" s="6"/>
      <c r="D75" s="6"/>
      <c r="E75" s="6"/>
    </row>
    <row r="76" spans="1:5" x14ac:dyDescent="0.45">
      <c r="A76" s="89"/>
      <c r="B76" s="90"/>
      <c r="C76" s="6"/>
      <c r="D76" s="6"/>
      <c r="E76" s="6"/>
    </row>
    <row r="77" spans="1:5" x14ac:dyDescent="0.45">
      <c r="A77" s="89"/>
      <c r="B77" s="90"/>
      <c r="C77" s="6"/>
      <c r="D77" s="6"/>
      <c r="E77" s="6"/>
    </row>
    <row r="78" spans="1:5" x14ac:dyDescent="0.45">
      <c r="A78" s="89"/>
      <c r="B78" s="90"/>
      <c r="C78" s="6"/>
      <c r="D78" s="6"/>
      <c r="E78" s="6"/>
    </row>
    <row r="79" spans="1:5" x14ac:dyDescent="0.45">
      <c r="A79" s="89"/>
      <c r="B79" s="90"/>
      <c r="C79" s="6"/>
      <c r="D79" s="6"/>
      <c r="E79" s="6"/>
    </row>
    <row r="80" spans="1:5" x14ac:dyDescent="0.45">
      <c r="A80" s="89"/>
      <c r="B80" s="90"/>
      <c r="C80" s="6"/>
      <c r="D80" s="6"/>
      <c r="E80" s="6"/>
    </row>
    <row r="81" spans="1:5" x14ac:dyDescent="0.45">
      <c r="A81" s="89"/>
      <c r="B81" s="90"/>
      <c r="C81" s="6"/>
      <c r="D81" s="6"/>
      <c r="E81" s="6"/>
    </row>
    <row r="82" spans="1:5" x14ac:dyDescent="0.45">
      <c r="A82" s="89"/>
      <c r="B82" s="90"/>
      <c r="C82" s="6"/>
      <c r="D82" s="6"/>
      <c r="E82" s="6"/>
    </row>
    <row r="83" spans="1:5" x14ac:dyDescent="0.45">
      <c r="A83" s="89"/>
      <c r="B83" s="90"/>
      <c r="C83" s="6"/>
      <c r="D83" s="6"/>
      <c r="E83" s="6"/>
    </row>
    <row r="84" spans="1:5" x14ac:dyDescent="0.45">
      <c r="A84" s="89"/>
      <c r="B84" s="90"/>
      <c r="C84" s="6"/>
      <c r="D84" s="6"/>
      <c r="E84" s="6"/>
    </row>
    <row r="85" spans="1:5" x14ac:dyDescent="0.45">
      <c r="A85" s="89"/>
      <c r="B85" s="90"/>
      <c r="C85" s="6"/>
      <c r="D85" s="6"/>
      <c r="E85" s="6"/>
    </row>
    <row r="86" spans="1:5" x14ac:dyDescent="0.45">
      <c r="A86" s="89"/>
      <c r="B86" s="90"/>
      <c r="C86" s="6"/>
      <c r="D86" s="6"/>
      <c r="E86" s="6"/>
    </row>
    <row r="87" spans="1:5" x14ac:dyDescent="0.45">
      <c r="A87" s="89"/>
      <c r="B87" s="90"/>
      <c r="C87" s="6"/>
      <c r="D87" s="6"/>
      <c r="E87" s="6"/>
    </row>
  </sheetData>
  <mergeCells count="26">
    <mergeCell ref="H2:H9"/>
    <mergeCell ref="H11:H18"/>
    <mergeCell ref="P2:P4"/>
    <mergeCell ref="AC2:AC25"/>
    <mergeCell ref="AC27:AC55"/>
    <mergeCell ref="AX2:AY2"/>
    <mergeCell ref="AZ2:BA2"/>
    <mergeCell ref="AD51:AD53"/>
    <mergeCell ref="AN1:BA1"/>
    <mergeCell ref="AH2:AI2"/>
    <mergeCell ref="AJ2:AK2"/>
    <mergeCell ref="AL2:AM2"/>
    <mergeCell ref="AN2:AO2"/>
    <mergeCell ref="AP2:AQ2"/>
    <mergeCell ref="AR2:AS2"/>
    <mergeCell ref="AT2:AU2"/>
    <mergeCell ref="AD27:AD33"/>
    <mergeCell ref="AD34:AD40"/>
    <mergeCell ref="AD41:AD47"/>
    <mergeCell ref="AD48:AD50"/>
    <mergeCell ref="AV2:AW2"/>
    <mergeCell ref="AD2:AD8"/>
    <mergeCell ref="AD9:AD14"/>
    <mergeCell ref="AD15:AD19"/>
    <mergeCell ref="AD20:AD22"/>
    <mergeCell ref="AD23:AD2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A67C1-863C-4D0A-AB75-769F53F13581}">
  <dimension ref="A1:F22"/>
  <sheetViews>
    <sheetView workbookViewId="0">
      <selection activeCell="E11" sqref="E11"/>
    </sheetView>
  </sheetViews>
  <sheetFormatPr defaultRowHeight="14.25" x14ac:dyDescent="0.45"/>
  <cols>
    <col min="1" max="1" width="37" customWidth="1"/>
    <col min="2" max="2" width="27.19921875" bestFit="1" customWidth="1"/>
    <col min="3" max="3" width="14.796875" customWidth="1"/>
    <col min="4" max="4" width="14.86328125" bestFit="1" customWidth="1"/>
    <col min="5" max="5" width="14.6640625" bestFit="1" customWidth="1"/>
    <col min="6" max="6" width="15.6640625" bestFit="1" customWidth="1"/>
  </cols>
  <sheetData>
    <row r="1" spans="1:6" ht="14.65" thickBot="1" x14ac:dyDescent="0.5">
      <c r="A1" s="4" t="s">
        <v>91</v>
      </c>
      <c r="B1" s="4" t="s">
        <v>92</v>
      </c>
      <c r="C1" s="5" t="s">
        <v>93</v>
      </c>
      <c r="D1" s="5" t="s">
        <v>94</v>
      </c>
      <c r="E1" s="5" t="s">
        <v>95</v>
      </c>
      <c r="F1" s="5" t="s">
        <v>96</v>
      </c>
    </row>
    <row r="2" spans="1:6" x14ac:dyDescent="0.45">
      <c r="A2" s="78"/>
      <c r="B2" s="24" t="s">
        <v>98</v>
      </c>
      <c r="C2" s="22" t="s">
        <v>99</v>
      </c>
      <c r="D2" s="28">
        <v>3.746E-2</v>
      </c>
      <c r="E2" s="28">
        <v>5.6140000000000002E-2</v>
      </c>
      <c r="F2" s="29">
        <v>9.4299999999999991E-3</v>
      </c>
    </row>
    <row r="3" spans="1:6" x14ac:dyDescent="0.45">
      <c r="A3" s="79" t="s">
        <v>97</v>
      </c>
      <c r="B3" s="25" t="s">
        <v>100</v>
      </c>
      <c r="C3" s="21" t="s">
        <v>99</v>
      </c>
      <c r="D3" s="30">
        <v>4.6019999999999998E-2</v>
      </c>
      <c r="E3" s="30">
        <v>6.0740000000000002E-2</v>
      </c>
      <c r="F3" s="31">
        <v>1.4540000000000001E-2</v>
      </c>
    </row>
    <row r="4" spans="1:6" x14ac:dyDescent="0.45">
      <c r="A4" s="80"/>
      <c r="B4" s="25" t="s">
        <v>101</v>
      </c>
      <c r="C4" s="21" t="s">
        <v>99</v>
      </c>
      <c r="D4" s="30">
        <v>6.7059999999999995E-2</v>
      </c>
      <c r="E4" s="30">
        <v>9.783E-2</v>
      </c>
      <c r="F4" s="31">
        <v>1.9789999999999999E-2</v>
      </c>
    </row>
    <row r="5" spans="1:6" ht="14.65" thickBot="1" x14ac:dyDescent="0.5">
      <c r="A5" s="81"/>
      <c r="B5" s="26" t="s">
        <v>102</v>
      </c>
      <c r="C5" s="23" t="s">
        <v>99</v>
      </c>
      <c r="D5" s="32">
        <v>6.1280000000000001E-2</v>
      </c>
      <c r="E5" s="32">
        <v>6.1830000000000003E-2</v>
      </c>
      <c r="F5" s="33">
        <v>1.7590000000000001E-2</v>
      </c>
    </row>
    <row r="10" spans="1:6" ht="14.65" thickBot="1" x14ac:dyDescent="0.5">
      <c r="A10" s="217" t="s">
        <v>91</v>
      </c>
      <c r="B10" s="5" t="s">
        <v>93</v>
      </c>
      <c r="C10" s="5" t="s">
        <v>131</v>
      </c>
    </row>
    <row r="11" spans="1:6" x14ac:dyDescent="0.45">
      <c r="A11" s="219" t="s">
        <v>1019</v>
      </c>
      <c r="B11" s="220" t="s">
        <v>1018</v>
      </c>
      <c r="C11" s="221">
        <v>3.746E-2</v>
      </c>
    </row>
    <row r="12" spans="1:6" x14ac:dyDescent="0.45">
      <c r="A12" s="222" t="s">
        <v>1020</v>
      </c>
      <c r="B12" s="218" t="s">
        <v>1018</v>
      </c>
      <c r="C12" s="223">
        <v>4.6019999999999998E-2</v>
      </c>
    </row>
    <row r="13" spans="1:6" x14ac:dyDescent="0.45">
      <c r="A13" s="222" t="s">
        <v>1021</v>
      </c>
      <c r="B13" s="218" t="s">
        <v>1018</v>
      </c>
      <c r="C13" s="223">
        <v>6.7059999999999995E-2</v>
      </c>
    </row>
    <row r="14" spans="1:6" x14ac:dyDescent="0.45">
      <c r="A14" s="222" t="s">
        <v>1022</v>
      </c>
      <c r="B14" s="218" t="s">
        <v>1018</v>
      </c>
      <c r="C14" s="223">
        <v>6.1280000000000001E-2</v>
      </c>
    </row>
    <row r="15" spans="1:6" x14ac:dyDescent="0.45">
      <c r="A15" s="222" t="s">
        <v>1023</v>
      </c>
      <c r="B15" s="218" t="s">
        <v>1018</v>
      </c>
      <c r="C15" s="223">
        <v>5.6140000000000002E-2</v>
      </c>
    </row>
    <row r="16" spans="1:6" x14ac:dyDescent="0.45">
      <c r="A16" s="222" t="s">
        <v>1024</v>
      </c>
      <c r="B16" s="218" t="s">
        <v>1018</v>
      </c>
      <c r="C16" s="223">
        <v>6.0740000000000002E-2</v>
      </c>
    </row>
    <row r="17" spans="1:3" x14ac:dyDescent="0.45">
      <c r="A17" s="222" t="s">
        <v>1025</v>
      </c>
      <c r="B17" s="218" t="s">
        <v>1018</v>
      </c>
      <c r="C17" s="223">
        <v>9.783E-2</v>
      </c>
    </row>
    <row r="18" spans="1:3" x14ac:dyDescent="0.45">
      <c r="A18" s="222" t="s">
        <v>1026</v>
      </c>
      <c r="B18" s="218" t="s">
        <v>1018</v>
      </c>
      <c r="C18" s="223">
        <v>6.1830000000000003E-2</v>
      </c>
    </row>
    <row r="19" spans="1:3" x14ac:dyDescent="0.45">
      <c r="A19" s="222" t="s">
        <v>1027</v>
      </c>
      <c r="B19" s="218" t="s">
        <v>1018</v>
      </c>
      <c r="C19" s="223">
        <v>9.4299999999999991E-3</v>
      </c>
    </row>
    <row r="20" spans="1:3" x14ac:dyDescent="0.45">
      <c r="A20" s="222" t="s">
        <v>1028</v>
      </c>
      <c r="B20" s="218" t="s">
        <v>1018</v>
      </c>
      <c r="C20" s="223">
        <v>1.4540000000000001E-2</v>
      </c>
    </row>
    <row r="21" spans="1:3" x14ac:dyDescent="0.45">
      <c r="A21" s="222" t="s">
        <v>1029</v>
      </c>
      <c r="B21" s="218" t="s">
        <v>1018</v>
      </c>
      <c r="C21" s="223">
        <v>1.9789999999999999E-2</v>
      </c>
    </row>
    <row r="22" spans="1:3" ht="14.65" thickBot="1" x14ac:dyDescent="0.5">
      <c r="A22" s="224" t="s">
        <v>1030</v>
      </c>
      <c r="B22" s="225" t="s">
        <v>1018</v>
      </c>
      <c r="C22" s="226">
        <v>1.7590000000000001E-2</v>
      </c>
    </row>
  </sheetData>
  <pageMargins left="0.7" right="0.7" top="0.75" bottom="0.75" header="0.3" footer="0.3"/>
  <pageSetup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5608-A208-4FA3-B2A7-52252785E223}">
  <dimension ref="A1:G52"/>
  <sheetViews>
    <sheetView topLeftCell="A13" zoomScaleNormal="100" workbookViewId="0">
      <selection activeCell="A2" sqref="A2:A9"/>
    </sheetView>
  </sheetViews>
  <sheetFormatPr defaultRowHeight="14.25" x14ac:dyDescent="0.45"/>
  <cols>
    <col min="1" max="1" width="44" customWidth="1"/>
    <col min="2" max="2" width="30.6640625" bestFit="1" customWidth="1"/>
    <col min="3" max="3" width="14.33203125" customWidth="1"/>
    <col min="4" max="4" width="9.6640625" customWidth="1"/>
    <col min="5" max="5" width="44.6640625" customWidth="1"/>
    <col min="6" max="6" width="15.86328125" customWidth="1"/>
    <col min="7" max="7" width="13.796875" bestFit="1" customWidth="1"/>
    <col min="8" max="8" width="16.796875" customWidth="1"/>
    <col min="10" max="11" width="10.6640625" customWidth="1"/>
    <col min="12" max="12" width="12.86328125" customWidth="1"/>
    <col min="13" max="13" width="13.33203125" customWidth="1"/>
  </cols>
  <sheetData>
    <row r="1" spans="1:7" x14ac:dyDescent="0.45">
      <c r="A1" s="6" t="s">
        <v>91</v>
      </c>
      <c r="B1" s="4" t="s">
        <v>92</v>
      </c>
      <c r="C1" s="5" t="s">
        <v>93</v>
      </c>
      <c r="D1" s="5" t="s">
        <v>103</v>
      </c>
      <c r="E1" s="5" t="s">
        <v>104</v>
      </c>
      <c r="F1" s="5" t="s">
        <v>105</v>
      </c>
      <c r="G1" s="5" t="s">
        <v>106</v>
      </c>
    </row>
    <row r="2" spans="1:7" x14ac:dyDescent="0.45">
      <c r="A2" s="304" t="s">
        <v>107</v>
      </c>
      <c r="B2" s="24" t="s">
        <v>108</v>
      </c>
      <c r="C2" s="22" t="s">
        <v>99</v>
      </c>
      <c r="D2" s="28">
        <v>0.11027000000000001</v>
      </c>
      <c r="E2" s="28">
        <v>0.11985</v>
      </c>
      <c r="F2" s="28">
        <v>0.12944</v>
      </c>
      <c r="G2" s="29">
        <v>0.11851</v>
      </c>
    </row>
    <row r="3" spans="1:7" x14ac:dyDescent="0.45">
      <c r="A3" s="299"/>
      <c r="B3" s="25" t="s">
        <v>109</v>
      </c>
      <c r="C3" s="21" t="s">
        <v>99</v>
      </c>
      <c r="D3" s="30">
        <v>0.13206999999999999</v>
      </c>
      <c r="E3" s="30">
        <v>0.15093999999999999</v>
      </c>
      <c r="F3" s="30">
        <v>0.16980999999999999</v>
      </c>
      <c r="G3" s="31">
        <v>0.14452999999999999</v>
      </c>
    </row>
    <row r="4" spans="1:7" x14ac:dyDescent="0.45">
      <c r="A4" s="299"/>
      <c r="B4" s="25" t="s">
        <v>110</v>
      </c>
      <c r="C4" s="21" t="s">
        <v>99</v>
      </c>
      <c r="D4" s="30">
        <v>0.18171999999999999</v>
      </c>
      <c r="E4" s="30">
        <v>0.22159999999999999</v>
      </c>
      <c r="F4" s="30">
        <v>0.26149</v>
      </c>
      <c r="G4" s="31">
        <v>0.23755999999999999</v>
      </c>
    </row>
    <row r="5" spans="1:7" x14ac:dyDescent="0.45">
      <c r="A5" s="299"/>
      <c r="B5" s="25" t="s">
        <v>111</v>
      </c>
      <c r="C5" s="21" t="s">
        <v>99</v>
      </c>
      <c r="D5" s="30">
        <v>0.16044</v>
      </c>
      <c r="E5" s="30">
        <v>0.19131000000000001</v>
      </c>
      <c r="F5" s="30">
        <v>0.22217999999999999</v>
      </c>
      <c r="G5" s="31">
        <v>0.20099</v>
      </c>
    </row>
    <row r="6" spans="1:7" x14ac:dyDescent="0.45">
      <c r="A6" s="299"/>
      <c r="B6" s="25" t="s">
        <v>112</v>
      </c>
      <c r="C6" s="21" t="s">
        <v>99</v>
      </c>
      <c r="D6" s="30">
        <v>0.14831</v>
      </c>
      <c r="E6" s="30">
        <v>0.18537999999999999</v>
      </c>
      <c r="F6" s="30">
        <v>0.22245999999999999</v>
      </c>
      <c r="G6" s="31">
        <v>0.18537999999999999</v>
      </c>
    </row>
    <row r="7" spans="1:7" x14ac:dyDescent="0.45">
      <c r="A7" s="299"/>
      <c r="B7" s="25" t="s">
        <v>113</v>
      </c>
      <c r="C7" s="21" t="s">
        <v>99</v>
      </c>
      <c r="D7" s="30">
        <v>0.15178</v>
      </c>
      <c r="E7" s="30">
        <v>0.20236999999999999</v>
      </c>
      <c r="F7" s="30">
        <v>0.25296000000000002</v>
      </c>
      <c r="G7" s="31">
        <v>0.22058</v>
      </c>
    </row>
    <row r="8" spans="1:7" x14ac:dyDescent="0.45">
      <c r="A8" s="299"/>
      <c r="B8" s="25" t="s">
        <v>114</v>
      </c>
      <c r="C8" s="21" t="s">
        <v>99</v>
      </c>
      <c r="D8" s="30">
        <v>0.15162</v>
      </c>
      <c r="E8" s="30">
        <v>0.20158999999999999</v>
      </c>
      <c r="F8" s="30">
        <v>0.25157000000000002</v>
      </c>
      <c r="G8" s="31">
        <v>0.21898000000000001</v>
      </c>
    </row>
    <row r="9" spans="1:7" x14ac:dyDescent="0.45">
      <c r="A9" s="300"/>
      <c r="B9" s="26" t="s">
        <v>115</v>
      </c>
      <c r="C9" s="23" t="s">
        <v>99</v>
      </c>
      <c r="D9" s="32">
        <v>0.15526999999999999</v>
      </c>
      <c r="E9" s="32">
        <v>0.19733999999999999</v>
      </c>
      <c r="F9" s="32">
        <v>0.23941999999999999</v>
      </c>
      <c r="G9" s="33">
        <v>0.21154000000000001</v>
      </c>
    </row>
    <row r="10" spans="1:7" x14ac:dyDescent="0.45">
      <c r="A10" s="298" t="s">
        <v>116</v>
      </c>
      <c r="B10" s="24" t="s">
        <v>108</v>
      </c>
      <c r="C10" s="22" t="s">
        <v>99</v>
      </c>
      <c r="D10" s="28">
        <v>0.13155</v>
      </c>
      <c r="E10" s="28">
        <v>0.14299000000000001</v>
      </c>
      <c r="F10" s="28">
        <v>0.15442</v>
      </c>
      <c r="G10" s="29">
        <v>0.14138000000000001</v>
      </c>
    </row>
    <row r="11" spans="1:7" x14ac:dyDescent="0.45">
      <c r="A11" s="299"/>
      <c r="B11" s="25" t="s">
        <v>109</v>
      </c>
      <c r="C11" s="21" t="s">
        <v>99</v>
      </c>
      <c r="D11" s="30">
        <v>0.15756000000000001</v>
      </c>
      <c r="E11" s="30">
        <v>0.18007000000000001</v>
      </c>
      <c r="F11" s="30">
        <v>0.20258000000000001</v>
      </c>
      <c r="G11" s="31">
        <v>0.17241999999999999</v>
      </c>
    </row>
    <row r="12" spans="1:7" x14ac:dyDescent="0.45">
      <c r="A12" s="299"/>
      <c r="B12" s="25" t="s">
        <v>110</v>
      </c>
      <c r="C12" s="21" t="s">
        <v>99</v>
      </c>
      <c r="D12" s="30">
        <v>0.21678</v>
      </c>
      <c r="E12" s="30">
        <v>0.26436999999999999</v>
      </c>
      <c r="F12" s="30">
        <v>0.31196000000000002</v>
      </c>
      <c r="G12" s="31">
        <v>0.28339999999999999</v>
      </c>
    </row>
    <row r="13" spans="1:7" x14ac:dyDescent="0.45">
      <c r="A13" s="299"/>
      <c r="B13" s="25" t="s">
        <v>111</v>
      </c>
      <c r="C13" s="21" t="s">
        <v>99</v>
      </c>
      <c r="D13" s="30">
        <v>0.19139999999999999</v>
      </c>
      <c r="E13" s="30">
        <v>0.22822999999999999</v>
      </c>
      <c r="F13" s="30">
        <v>0.26506000000000002</v>
      </c>
      <c r="G13" s="31">
        <v>0.23977999999999999</v>
      </c>
    </row>
    <row r="14" spans="1:7" x14ac:dyDescent="0.45">
      <c r="A14" s="299"/>
      <c r="B14" s="25" t="s">
        <v>112</v>
      </c>
      <c r="C14" s="21" t="s">
        <v>99</v>
      </c>
      <c r="D14" s="30">
        <v>0.17199</v>
      </c>
      <c r="E14" s="30">
        <v>0.21498999999999999</v>
      </c>
      <c r="F14" s="30">
        <v>0.25799</v>
      </c>
      <c r="G14" s="31">
        <v>0.21498999999999999</v>
      </c>
    </row>
    <row r="15" spans="1:7" x14ac:dyDescent="0.45">
      <c r="A15" s="299"/>
      <c r="B15" s="25" t="s">
        <v>113</v>
      </c>
      <c r="C15" s="21" t="s">
        <v>99</v>
      </c>
      <c r="D15" s="30">
        <v>0.17602000000000001</v>
      </c>
      <c r="E15" s="30">
        <v>0.23469000000000001</v>
      </c>
      <c r="F15" s="30">
        <v>0.29336000000000001</v>
      </c>
      <c r="G15" s="31">
        <v>0.25580999999999998</v>
      </c>
    </row>
    <row r="16" spans="1:7" x14ac:dyDescent="0.45">
      <c r="A16" s="299"/>
      <c r="B16" s="25" t="s">
        <v>114</v>
      </c>
      <c r="C16" s="21" t="s">
        <v>99</v>
      </c>
      <c r="D16" s="30">
        <v>0.17582999999999999</v>
      </c>
      <c r="E16" s="30">
        <v>0.23379</v>
      </c>
      <c r="F16" s="30">
        <v>0.29175000000000001</v>
      </c>
      <c r="G16" s="31">
        <v>0.25395000000000001</v>
      </c>
    </row>
    <row r="17" spans="1:7" x14ac:dyDescent="0.45">
      <c r="A17" s="300"/>
      <c r="B17" s="26" t="s">
        <v>115</v>
      </c>
      <c r="C17" s="23" t="s">
        <v>99</v>
      </c>
      <c r="D17" s="32">
        <v>0.1822</v>
      </c>
      <c r="E17" s="32">
        <v>0.23157</v>
      </c>
      <c r="F17" s="32">
        <v>0.28094999999999998</v>
      </c>
      <c r="G17" s="33">
        <v>0.24823999999999999</v>
      </c>
    </row>
    <row r="19" spans="1:7" x14ac:dyDescent="0.45">
      <c r="A19" s="228" t="s">
        <v>1039</v>
      </c>
      <c r="E19" s="228" t="s">
        <v>1040</v>
      </c>
    </row>
    <row r="20" spans="1:7" ht="14.65" thickBot="1" x14ac:dyDescent="0.5">
      <c r="A20" s="227" t="s">
        <v>91</v>
      </c>
      <c r="B20" s="5" t="s">
        <v>93</v>
      </c>
      <c r="C20" s="5" t="s">
        <v>131</v>
      </c>
      <c r="E20" s="227" t="s">
        <v>91</v>
      </c>
      <c r="F20" s="5" t="s">
        <v>93</v>
      </c>
      <c r="G20" s="5" t="s">
        <v>131</v>
      </c>
    </row>
    <row r="21" spans="1:7" x14ac:dyDescent="0.45">
      <c r="A21" s="219" t="s">
        <v>1031</v>
      </c>
      <c r="B21" s="230" t="s">
        <v>99</v>
      </c>
      <c r="C21" s="221">
        <v>0.11027000000000001</v>
      </c>
      <c r="E21" s="229" t="s">
        <v>1031</v>
      </c>
      <c r="F21" s="229" t="s">
        <v>99</v>
      </c>
      <c r="G21" s="232">
        <v>0.13155</v>
      </c>
    </row>
    <row r="22" spans="1:7" x14ac:dyDescent="0.45">
      <c r="A22" s="222" t="s">
        <v>1032</v>
      </c>
      <c r="B22" s="229" t="s">
        <v>99</v>
      </c>
      <c r="C22" s="223">
        <v>0.13206999999999999</v>
      </c>
      <c r="E22" s="229" t="s">
        <v>1032</v>
      </c>
      <c r="F22" s="229" t="s">
        <v>99</v>
      </c>
      <c r="G22" s="232">
        <v>0.15756000000000001</v>
      </c>
    </row>
    <row r="23" spans="1:7" x14ac:dyDescent="0.45">
      <c r="A23" s="222" t="s">
        <v>1033</v>
      </c>
      <c r="B23" s="229" t="s">
        <v>99</v>
      </c>
      <c r="C23" s="223">
        <v>0.18171999999999999</v>
      </c>
      <c r="E23" s="229" t="s">
        <v>1033</v>
      </c>
      <c r="F23" s="229" t="s">
        <v>99</v>
      </c>
      <c r="G23" s="232">
        <v>0.21678</v>
      </c>
    </row>
    <row r="24" spans="1:7" x14ac:dyDescent="0.45">
      <c r="A24" s="222" t="s">
        <v>1034</v>
      </c>
      <c r="B24" s="229" t="s">
        <v>99</v>
      </c>
      <c r="C24" s="223">
        <v>0.16044</v>
      </c>
      <c r="E24" s="229" t="s">
        <v>1034</v>
      </c>
      <c r="F24" s="229" t="s">
        <v>99</v>
      </c>
      <c r="G24" s="232">
        <v>0.19139999999999999</v>
      </c>
    </row>
    <row r="25" spans="1:7" x14ac:dyDescent="0.45">
      <c r="A25" s="222" t="s">
        <v>1035</v>
      </c>
      <c r="B25" s="229" t="s">
        <v>99</v>
      </c>
      <c r="C25" s="223">
        <v>0.14831</v>
      </c>
      <c r="E25" s="229" t="s">
        <v>1035</v>
      </c>
      <c r="F25" s="229" t="s">
        <v>99</v>
      </c>
      <c r="G25" s="232">
        <v>0.17199</v>
      </c>
    </row>
    <row r="26" spans="1:7" x14ac:dyDescent="0.45">
      <c r="A26" s="222" t="s">
        <v>1036</v>
      </c>
      <c r="B26" s="229" t="s">
        <v>99</v>
      </c>
      <c r="C26" s="223">
        <v>0.15178</v>
      </c>
      <c r="E26" s="229" t="s">
        <v>1036</v>
      </c>
      <c r="F26" s="229" t="s">
        <v>99</v>
      </c>
      <c r="G26" s="232">
        <v>0.17602000000000001</v>
      </c>
    </row>
    <row r="27" spans="1:7" x14ac:dyDescent="0.45">
      <c r="A27" s="222" t="s">
        <v>1037</v>
      </c>
      <c r="B27" s="229" t="s">
        <v>99</v>
      </c>
      <c r="C27" s="223">
        <v>0.15162</v>
      </c>
      <c r="E27" s="229" t="s">
        <v>1037</v>
      </c>
      <c r="F27" s="229" t="s">
        <v>99</v>
      </c>
      <c r="G27" s="232">
        <v>0.17582999999999999</v>
      </c>
    </row>
    <row r="28" spans="1:7" x14ac:dyDescent="0.45">
      <c r="A28" s="222" t="s">
        <v>1038</v>
      </c>
      <c r="B28" s="229" t="s">
        <v>99</v>
      </c>
      <c r="C28" s="223">
        <v>0.15526999999999999</v>
      </c>
      <c r="E28" s="229" t="s">
        <v>1038</v>
      </c>
      <c r="F28" s="229" t="s">
        <v>99</v>
      </c>
      <c r="G28" s="232">
        <v>0.1822</v>
      </c>
    </row>
    <row r="29" spans="1:7" x14ac:dyDescent="0.45">
      <c r="A29" s="222" t="s">
        <v>1041</v>
      </c>
      <c r="B29" s="229" t="s">
        <v>99</v>
      </c>
      <c r="C29" s="223">
        <v>0.11985</v>
      </c>
      <c r="E29" s="229" t="s">
        <v>1041</v>
      </c>
      <c r="F29" s="229" t="s">
        <v>99</v>
      </c>
      <c r="G29" s="232">
        <v>0.14299000000000001</v>
      </c>
    </row>
    <row r="30" spans="1:7" x14ac:dyDescent="0.45">
      <c r="A30" s="222" t="s">
        <v>1042</v>
      </c>
      <c r="B30" s="229" t="s">
        <v>99</v>
      </c>
      <c r="C30" s="223">
        <v>0.15093999999999999</v>
      </c>
      <c r="E30" s="229" t="s">
        <v>1042</v>
      </c>
      <c r="F30" s="229" t="s">
        <v>99</v>
      </c>
      <c r="G30" s="232">
        <v>0.18007000000000001</v>
      </c>
    </row>
    <row r="31" spans="1:7" x14ac:dyDescent="0.45">
      <c r="A31" s="222" t="s">
        <v>1043</v>
      </c>
      <c r="B31" s="229" t="s">
        <v>99</v>
      </c>
      <c r="C31" s="223">
        <v>0.22159999999999999</v>
      </c>
      <c r="E31" s="229" t="s">
        <v>1043</v>
      </c>
      <c r="F31" s="229" t="s">
        <v>99</v>
      </c>
      <c r="G31" s="232">
        <v>0.26436999999999999</v>
      </c>
    </row>
    <row r="32" spans="1:7" x14ac:dyDescent="0.45">
      <c r="A32" s="222" t="s">
        <v>1044</v>
      </c>
      <c r="B32" s="229" t="s">
        <v>99</v>
      </c>
      <c r="C32" s="223">
        <v>0.19131000000000001</v>
      </c>
      <c r="E32" s="229" t="s">
        <v>1044</v>
      </c>
      <c r="F32" s="229" t="s">
        <v>99</v>
      </c>
      <c r="G32" s="232">
        <v>0.22822999999999999</v>
      </c>
    </row>
    <row r="33" spans="1:7" x14ac:dyDescent="0.45">
      <c r="A33" s="222" t="s">
        <v>1045</v>
      </c>
      <c r="B33" s="229" t="s">
        <v>99</v>
      </c>
      <c r="C33" s="223">
        <v>0.18537999999999999</v>
      </c>
      <c r="E33" s="229" t="s">
        <v>1045</v>
      </c>
      <c r="F33" s="229" t="s">
        <v>99</v>
      </c>
      <c r="G33" s="232">
        <v>0.21498999999999999</v>
      </c>
    </row>
    <row r="34" spans="1:7" x14ac:dyDescent="0.45">
      <c r="A34" s="222" t="s">
        <v>1046</v>
      </c>
      <c r="B34" s="229" t="s">
        <v>99</v>
      </c>
      <c r="C34" s="223">
        <v>0.20236999999999999</v>
      </c>
      <c r="E34" s="229" t="s">
        <v>1046</v>
      </c>
      <c r="F34" s="229" t="s">
        <v>99</v>
      </c>
      <c r="G34" s="232">
        <v>0.23469000000000001</v>
      </c>
    </row>
    <row r="35" spans="1:7" x14ac:dyDescent="0.45">
      <c r="A35" s="222" t="s">
        <v>1047</v>
      </c>
      <c r="B35" s="229" t="s">
        <v>99</v>
      </c>
      <c r="C35" s="223">
        <v>0.20158999999999999</v>
      </c>
      <c r="E35" s="229" t="s">
        <v>1047</v>
      </c>
      <c r="F35" s="229" t="s">
        <v>99</v>
      </c>
      <c r="G35" s="232">
        <v>0.23379</v>
      </c>
    </row>
    <row r="36" spans="1:7" x14ac:dyDescent="0.45">
      <c r="A36" s="222" t="s">
        <v>1048</v>
      </c>
      <c r="B36" s="229" t="s">
        <v>99</v>
      </c>
      <c r="C36" s="223">
        <v>0.19733999999999999</v>
      </c>
      <c r="E36" s="229" t="s">
        <v>1048</v>
      </c>
      <c r="F36" s="229" t="s">
        <v>99</v>
      </c>
      <c r="G36" s="232">
        <v>0.23157</v>
      </c>
    </row>
    <row r="37" spans="1:7" x14ac:dyDescent="0.45">
      <c r="A37" s="222" t="s">
        <v>1049</v>
      </c>
      <c r="B37" s="229" t="s">
        <v>99</v>
      </c>
      <c r="C37" s="223">
        <v>0.12944</v>
      </c>
      <c r="E37" s="229" t="s">
        <v>1049</v>
      </c>
      <c r="F37" s="229" t="s">
        <v>99</v>
      </c>
      <c r="G37" s="232">
        <v>0.15442</v>
      </c>
    </row>
    <row r="38" spans="1:7" x14ac:dyDescent="0.45">
      <c r="A38" s="222" t="s">
        <v>1050</v>
      </c>
      <c r="B38" s="229" t="s">
        <v>99</v>
      </c>
      <c r="C38" s="223">
        <v>0.16980999999999999</v>
      </c>
      <c r="E38" s="229" t="s">
        <v>1050</v>
      </c>
      <c r="F38" s="229" t="s">
        <v>99</v>
      </c>
      <c r="G38" s="232">
        <v>0.20258000000000001</v>
      </c>
    </row>
    <row r="39" spans="1:7" x14ac:dyDescent="0.45">
      <c r="A39" s="222" t="s">
        <v>1051</v>
      </c>
      <c r="B39" s="229" t="s">
        <v>99</v>
      </c>
      <c r="C39" s="223">
        <v>0.26149</v>
      </c>
      <c r="E39" s="229" t="s">
        <v>1051</v>
      </c>
      <c r="F39" s="229" t="s">
        <v>99</v>
      </c>
      <c r="G39" s="232">
        <v>0.31196000000000002</v>
      </c>
    </row>
    <row r="40" spans="1:7" x14ac:dyDescent="0.45">
      <c r="A40" s="222" t="s">
        <v>1052</v>
      </c>
      <c r="B40" s="229" t="s">
        <v>99</v>
      </c>
      <c r="C40" s="223">
        <v>0.22217999999999999</v>
      </c>
      <c r="E40" s="229" t="s">
        <v>1052</v>
      </c>
      <c r="F40" s="229" t="s">
        <v>99</v>
      </c>
      <c r="G40" s="232">
        <v>0.26506000000000002</v>
      </c>
    </row>
    <row r="41" spans="1:7" x14ac:dyDescent="0.45">
      <c r="A41" s="222" t="s">
        <v>1053</v>
      </c>
      <c r="B41" s="229" t="s">
        <v>99</v>
      </c>
      <c r="C41" s="223">
        <v>0.22245999999999999</v>
      </c>
      <c r="E41" s="229" t="s">
        <v>1053</v>
      </c>
      <c r="F41" s="229" t="s">
        <v>99</v>
      </c>
      <c r="G41" s="232">
        <v>0.25799</v>
      </c>
    </row>
    <row r="42" spans="1:7" x14ac:dyDescent="0.45">
      <c r="A42" s="222" t="s">
        <v>1054</v>
      </c>
      <c r="B42" s="229" t="s">
        <v>99</v>
      </c>
      <c r="C42" s="223">
        <v>0.25296000000000002</v>
      </c>
      <c r="E42" s="229" t="s">
        <v>1054</v>
      </c>
      <c r="F42" s="229" t="s">
        <v>99</v>
      </c>
      <c r="G42" s="232">
        <v>0.29336000000000001</v>
      </c>
    </row>
    <row r="43" spans="1:7" x14ac:dyDescent="0.45">
      <c r="A43" s="222" t="s">
        <v>1055</v>
      </c>
      <c r="B43" s="229" t="s">
        <v>99</v>
      </c>
      <c r="C43" s="223">
        <v>0.25157000000000002</v>
      </c>
      <c r="E43" s="229" t="s">
        <v>1055</v>
      </c>
      <c r="F43" s="229" t="s">
        <v>99</v>
      </c>
      <c r="G43" s="232">
        <v>0.29175000000000001</v>
      </c>
    </row>
    <row r="44" spans="1:7" x14ac:dyDescent="0.45">
      <c r="A44" s="222" t="s">
        <v>1056</v>
      </c>
      <c r="B44" s="229" t="s">
        <v>99</v>
      </c>
      <c r="C44" s="223">
        <v>0.23941999999999999</v>
      </c>
      <c r="E44" s="229" t="s">
        <v>1056</v>
      </c>
      <c r="F44" s="229" t="s">
        <v>99</v>
      </c>
      <c r="G44" s="232">
        <v>0.28094999999999998</v>
      </c>
    </row>
    <row r="45" spans="1:7" x14ac:dyDescent="0.45">
      <c r="A45" s="222" t="s">
        <v>1064</v>
      </c>
      <c r="B45" s="229" t="s">
        <v>99</v>
      </c>
      <c r="C45" s="223">
        <v>0.11851</v>
      </c>
      <c r="E45" s="229" t="s">
        <v>1064</v>
      </c>
      <c r="F45" s="229" t="s">
        <v>99</v>
      </c>
      <c r="G45" s="232">
        <v>0.14138000000000001</v>
      </c>
    </row>
    <row r="46" spans="1:7" x14ac:dyDescent="0.45">
      <c r="A46" s="222" t="s">
        <v>1063</v>
      </c>
      <c r="B46" s="229" t="s">
        <v>99</v>
      </c>
      <c r="C46" s="223">
        <v>0.14452999999999999</v>
      </c>
      <c r="E46" s="229" t="s">
        <v>1063</v>
      </c>
      <c r="F46" s="229" t="s">
        <v>99</v>
      </c>
      <c r="G46" s="232">
        <v>0.17241999999999999</v>
      </c>
    </row>
    <row r="47" spans="1:7" x14ac:dyDescent="0.45">
      <c r="A47" s="222" t="s">
        <v>1062</v>
      </c>
      <c r="B47" s="229" t="s">
        <v>99</v>
      </c>
      <c r="C47" s="223">
        <v>0.23755999999999999</v>
      </c>
      <c r="E47" s="229" t="s">
        <v>1062</v>
      </c>
      <c r="F47" s="229" t="s">
        <v>99</v>
      </c>
      <c r="G47" s="232">
        <v>0.28339999999999999</v>
      </c>
    </row>
    <row r="48" spans="1:7" x14ac:dyDescent="0.45">
      <c r="A48" s="222" t="s">
        <v>1061</v>
      </c>
      <c r="B48" s="229" t="s">
        <v>99</v>
      </c>
      <c r="C48" s="223">
        <v>0.20099</v>
      </c>
      <c r="E48" s="229" t="s">
        <v>1061</v>
      </c>
      <c r="F48" s="229" t="s">
        <v>99</v>
      </c>
      <c r="G48" s="232">
        <v>0.23977999999999999</v>
      </c>
    </row>
    <row r="49" spans="1:7" x14ac:dyDescent="0.45">
      <c r="A49" s="222" t="s">
        <v>1060</v>
      </c>
      <c r="B49" s="229" t="s">
        <v>99</v>
      </c>
      <c r="C49" s="223">
        <v>0.18537999999999999</v>
      </c>
      <c r="E49" s="229" t="s">
        <v>1060</v>
      </c>
      <c r="F49" s="229" t="s">
        <v>99</v>
      </c>
      <c r="G49" s="232">
        <v>0.21498999999999999</v>
      </c>
    </row>
    <row r="50" spans="1:7" x14ac:dyDescent="0.45">
      <c r="A50" s="222" t="s">
        <v>1059</v>
      </c>
      <c r="B50" s="229" t="s">
        <v>99</v>
      </c>
      <c r="C50" s="223">
        <v>0.22058</v>
      </c>
      <c r="E50" s="229" t="s">
        <v>1059</v>
      </c>
      <c r="F50" s="229" t="s">
        <v>99</v>
      </c>
      <c r="G50" s="232">
        <v>0.25580999999999998</v>
      </c>
    </row>
    <row r="51" spans="1:7" x14ac:dyDescent="0.45">
      <c r="A51" s="222" t="s">
        <v>1058</v>
      </c>
      <c r="B51" s="229" t="s">
        <v>99</v>
      </c>
      <c r="C51" s="223">
        <v>0.21898000000000001</v>
      </c>
      <c r="E51" s="229" t="s">
        <v>1058</v>
      </c>
      <c r="F51" s="229" t="s">
        <v>99</v>
      </c>
      <c r="G51" s="232">
        <v>0.25395000000000001</v>
      </c>
    </row>
    <row r="52" spans="1:7" ht="14.65" thickBot="1" x14ac:dyDescent="0.5">
      <c r="A52" s="224" t="s">
        <v>1057</v>
      </c>
      <c r="B52" s="231" t="s">
        <v>99</v>
      </c>
      <c r="C52" s="226">
        <v>0.21154000000000001</v>
      </c>
      <c r="E52" s="229" t="s">
        <v>1057</v>
      </c>
      <c r="F52" s="229" t="s">
        <v>99</v>
      </c>
      <c r="G52" s="232">
        <v>0.24823999999999999</v>
      </c>
    </row>
  </sheetData>
  <mergeCells count="2">
    <mergeCell ref="A2:A9"/>
    <mergeCell ref="A10:A1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21157-5890-4EBA-B0AE-602E13F3870B}">
  <dimension ref="A1:G15"/>
  <sheetViews>
    <sheetView workbookViewId="0">
      <selection activeCell="D15" sqref="D15"/>
    </sheetView>
  </sheetViews>
  <sheetFormatPr defaultRowHeight="14.25" x14ac:dyDescent="0.45"/>
  <cols>
    <col min="1" max="1" width="39.796875" customWidth="1"/>
    <col min="2" max="2" width="18" bestFit="1" customWidth="1"/>
    <col min="3" max="3" width="10" bestFit="1" customWidth="1"/>
    <col min="5" max="5" width="10.86328125" bestFit="1" customWidth="1"/>
    <col min="6" max="7" width="9.6640625" bestFit="1" customWidth="1"/>
  </cols>
  <sheetData>
    <row r="1" spans="1:7" ht="14.65" thickBot="1" x14ac:dyDescent="0.5">
      <c r="A1" t="s">
        <v>91</v>
      </c>
      <c r="B1" s="5" t="s">
        <v>92</v>
      </c>
      <c r="C1" s="5" t="s">
        <v>93</v>
      </c>
      <c r="D1" s="5" t="s">
        <v>117</v>
      </c>
      <c r="E1" s="5" t="s">
        <v>118</v>
      </c>
      <c r="F1" s="5" t="s">
        <v>119</v>
      </c>
      <c r="G1" s="5" t="s">
        <v>120</v>
      </c>
    </row>
    <row r="2" spans="1:7" x14ac:dyDescent="0.45">
      <c r="A2" s="298" t="s">
        <v>121</v>
      </c>
      <c r="B2" s="8" t="s">
        <v>122</v>
      </c>
      <c r="C2" s="8" t="s">
        <v>123</v>
      </c>
      <c r="D2" s="9">
        <v>0.13516</v>
      </c>
      <c r="E2" s="8">
        <v>0.13516</v>
      </c>
      <c r="F2" s="38"/>
      <c r="G2" s="39"/>
    </row>
    <row r="3" spans="1:7" x14ac:dyDescent="0.45">
      <c r="A3" s="299"/>
      <c r="B3" s="5" t="s">
        <v>126</v>
      </c>
      <c r="C3" s="5" t="s">
        <v>123</v>
      </c>
      <c r="D3" s="36"/>
      <c r="E3" s="36"/>
      <c r="F3" s="5">
        <v>0.25900000000000001</v>
      </c>
      <c r="G3" s="16">
        <v>0.20300000000000001</v>
      </c>
    </row>
    <row r="4" spans="1:7" x14ac:dyDescent="0.45">
      <c r="A4" s="300"/>
      <c r="B4" s="12" t="s">
        <v>127</v>
      </c>
      <c r="C4" s="12" t="s">
        <v>123</v>
      </c>
      <c r="D4" s="37"/>
      <c r="E4" s="37"/>
      <c r="F4" s="12">
        <v>0.315</v>
      </c>
      <c r="G4" s="17">
        <v>0.13100000000000001</v>
      </c>
    </row>
    <row r="9" spans="1:7" ht="14.65" thickBot="1" x14ac:dyDescent="0.5">
      <c r="A9" s="239" t="s">
        <v>91</v>
      </c>
      <c r="B9" s="5" t="s">
        <v>93</v>
      </c>
      <c r="C9" s="5" t="s">
        <v>131</v>
      </c>
    </row>
    <row r="10" spans="1:7" x14ac:dyDescent="0.45">
      <c r="A10" s="236" t="s">
        <v>1066</v>
      </c>
      <c r="B10" s="242" t="s">
        <v>123</v>
      </c>
      <c r="C10" s="107">
        <v>0.13516</v>
      </c>
    </row>
    <row r="11" spans="1:7" x14ac:dyDescent="0.45">
      <c r="A11" s="237" t="s">
        <v>1067</v>
      </c>
      <c r="B11" s="243" t="s">
        <v>123</v>
      </c>
      <c r="C11" s="234">
        <v>0.13516</v>
      </c>
    </row>
    <row r="12" spans="1:7" x14ac:dyDescent="0.45">
      <c r="A12" s="237" t="s">
        <v>1068</v>
      </c>
      <c r="B12" s="243" t="s">
        <v>123</v>
      </c>
      <c r="C12" s="234">
        <v>0.25900000000000001</v>
      </c>
    </row>
    <row r="13" spans="1:7" x14ac:dyDescent="0.45">
      <c r="A13" s="237" t="s">
        <v>1069</v>
      </c>
      <c r="B13" s="243" t="s">
        <v>123</v>
      </c>
      <c r="C13" s="234">
        <v>0.20300000000000001</v>
      </c>
    </row>
    <row r="14" spans="1:7" x14ac:dyDescent="0.45">
      <c r="A14" s="237" t="s">
        <v>1070</v>
      </c>
      <c r="B14" s="243" t="s">
        <v>123</v>
      </c>
      <c r="C14" s="234">
        <v>0.315</v>
      </c>
    </row>
    <row r="15" spans="1:7" ht="14.65" thickBot="1" x14ac:dyDescent="0.5">
      <c r="A15" s="238" t="s">
        <v>1071</v>
      </c>
      <c r="B15" s="244" t="s">
        <v>123</v>
      </c>
      <c r="C15" s="235">
        <v>0.13100000000000001</v>
      </c>
    </row>
  </sheetData>
  <mergeCells count="1">
    <mergeCell ref="A2:A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E775-85CC-45C0-893B-9A87883C486D}">
  <dimension ref="A1:D9"/>
  <sheetViews>
    <sheetView workbookViewId="0">
      <selection activeCell="D2" sqref="D2"/>
    </sheetView>
  </sheetViews>
  <sheetFormatPr defaultRowHeight="14.25" x14ac:dyDescent="0.45"/>
  <cols>
    <col min="1" max="1" width="18.1328125" bestFit="1" customWidth="1"/>
    <col min="2" max="2" width="11.796875" bestFit="1" customWidth="1"/>
    <col min="3" max="3" width="10" bestFit="1" customWidth="1"/>
    <col min="4" max="4" width="8.1328125" bestFit="1" customWidth="1"/>
  </cols>
  <sheetData>
    <row r="1" spans="1:4" x14ac:dyDescent="0.45">
      <c r="A1" s="86" t="s">
        <v>91</v>
      </c>
      <c r="B1" s="85" t="s">
        <v>92</v>
      </c>
      <c r="C1" s="85" t="s">
        <v>93</v>
      </c>
      <c r="D1" s="85" t="s">
        <v>182</v>
      </c>
    </row>
    <row r="2" spans="1:4" x14ac:dyDescent="0.45">
      <c r="A2" s="82" t="s">
        <v>128</v>
      </c>
      <c r="B2" s="18" t="s">
        <v>129</v>
      </c>
      <c r="C2" s="18" t="s">
        <v>123</v>
      </c>
      <c r="D2" s="27">
        <v>6.9100000000000003E-3</v>
      </c>
    </row>
    <row r="6" spans="1:4" ht="14.65" thickBot="1" x14ac:dyDescent="0.5">
      <c r="A6" s="227" t="s">
        <v>91</v>
      </c>
      <c r="B6" t="s">
        <v>93</v>
      </c>
      <c r="C6" s="5" t="s">
        <v>131</v>
      </c>
    </row>
    <row r="7" spans="1:4" ht="14.65" thickBot="1" x14ac:dyDescent="0.5">
      <c r="A7" s="241" t="s">
        <v>1072</v>
      </c>
      <c r="B7" s="241" t="s">
        <v>123</v>
      </c>
      <c r="C7" s="240">
        <v>6.9100000000000003E-3</v>
      </c>
    </row>
    <row r="9" spans="1:4" x14ac:dyDescent="0.45">
      <c r="B9" s="239"/>
      <c r="C9" s="5"/>
      <c r="D9" s="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B0C8-B8D2-4684-B32D-14EED3B83A5D}">
  <dimension ref="A1:N54"/>
  <sheetViews>
    <sheetView workbookViewId="0">
      <selection activeCell="L2" sqref="L2"/>
    </sheetView>
  </sheetViews>
  <sheetFormatPr defaultRowHeight="14.25" x14ac:dyDescent="0.45"/>
  <cols>
    <col min="1" max="1" width="15.6640625" customWidth="1"/>
    <col min="2" max="2" width="18.86328125" customWidth="1"/>
    <col min="3" max="3" width="24" bestFit="1" customWidth="1"/>
    <col min="4" max="4" width="10.1328125" bestFit="1" customWidth="1"/>
    <col min="12" max="12" width="41.46484375" customWidth="1"/>
    <col min="13" max="13" width="11.46484375" customWidth="1"/>
  </cols>
  <sheetData>
    <row r="1" spans="1:14" ht="14.65" thickBot="1" x14ac:dyDescent="0.5">
      <c r="A1" s="298" t="s">
        <v>132</v>
      </c>
      <c r="B1" s="306" t="s">
        <v>133</v>
      </c>
      <c r="C1" s="9" t="s">
        <v>134</v>
      </c>
      <c r="D1" s="9" t="s">
        <v>123</v>
      </c>
      <c r="E1" s="10">
        <v>6.7000000000000002E-4</v>
      </c>
      <c r="L1" s="227" t="s">
        <v>91</v>
      </c>
      <c r="M1" t="s">
        <v>93</v>
      </c>
      <c r="N1" s="5" t="s">
        <v>131</v>
      </c>
    </row>
    <row r="2" spans="1:14" x14ac:dyDescent="0.45">
      <c r="A2" s="299"/>
      <c r="B2" s="305"/>
      <c r="C2" s="7" t="s">
        <v>135</v>
      </c>
      <c r="D2" s="7" t="s">
        <v>123</v>
      </c>
      <c r="E2" s="11">
        <v>1.01E-3</v>
      </c>
      <c r="L2" t="s">
        <v>1073</v>
      </c>
      <c r="M2" s="9" t="s">
        <v>123</v>
      </c>
      <c r="N2" s="10">
        <v>6.7000000000000002E-4</v>
      </c>
    </row>
    <row r="3" spans="1:14" x14ac:dyDescent="0.45">
      <c r="A3" s="299"/>
      <c r="B3" s="305"/>
      <c r="C3" s="7" t="s">
        <v>136</v>
      </c>
      <c r="D3" s="7" t="s">
        <v>123</v>
      </c>
      <c r="E3" s="11">
        <v>1.3500000000000001E-3</v>
      </c>
      <c r="L3" t="s">
        <v>1074</v>
      </c>
      <c r="M3" s="7" t="s">
        <v>123</v>
      </c>
      <c r="N3" s="11">
        <v>1.01E-3</v>
      </c>
    </row>
    <row r="4" spans="1:14" x14ac:dyDescent="0.45">
      <c r="A4" s="299"/>
      <c r="B4" s="305"/>
      <c r="C4" s="7" t="s">
        <v>137</v>
      </c>
      <c r="D4" s="7" t="s">
        <v>123</v>
      </c>
      <c r="E4" s="11">
        <v>1.72E-3</v>
      </c>
      <c r="L4" t="s">
        <v>1075</v>
      </c>
      <c r="M4" s="7" t="s">
        <v>123</v>
      </c>
      <c r="N4" s="11">
        <v>1.3500000000000001E-3</v>
      </c>
    </row>
    <row r="5" spans="1:14" x14ac:dyDescent="0.45">
      <c r="A5" s="299"/>
      <c r="B5" s="305"/>
      <c r="C5" s="7" t="s">
        <v>138</v>
      </c>
      <c r="D5" s="7" t="s">
        <v>123</v>
      </c>
      <c r="E5" s="11">
        <v>2.0899999999999998E-3</v>
      </c>
      <c r="L5" t="s">
        <v>1076</v>
      </c>
      <c r="M5" s="7" t="s">
        <v>123</v>
      </c>
      <c r="N5" s="11">
        <v>1.72E-3</v>
      </c>
    </row>
    <row r="6" spans="1:14" x14ac:dyDescent="0.45">
      <c r="A6" s="299"/>
      <c r="B6" s="305"/>
      <c r="C6" s="7" t="s">
        <v>139</v>
      </c>
      <c r="D6" s="7" t="s">
        <v>123</v>
      </c>
      <c r="E6" s="11">
        <v>7.6400000000000001E-3</v>
      </c>
      <c r="L6" t="s">
        <v>1077</v>
      </c>
      <c r="M6" s="7" t="s">
        <v>123</v>
      </c>
      <c r="N6" s="11">
        <v>2.0899999999999998E-3</v>
      </c>
    </row>
    <row r="7" spans="1:14" x14ac:dyDescent="0.45">
      <c r="A7" s="299"/>
      <c r="B7" s="305"/>
      <c r="C7" s="7" t="s">
        <v>140</v>
      </c>
      <c r="D7" s="7" t="s">
        <v>123</v>
      </c>
      <c r="E7" s="11">
        <v>1.0399999999999999E-3</v>
      </c>
      <c r="L7" t="s">
        <v>1078</v>
      </c>
      <c r="M7" s="7" t="s">
        <v>123</v>
      </c>
      <c r="N7" s="11">
        <v>7.6400000000000001E-3</v>
      </c>
    </row>
    <row r="8" spans="1:14" x14ac:dyDescent="0.45">
      <c r="A8" s="299"/>
      <c r="B8" s="305" t="s">
        <v>141</v>
      </c>
      <c r="C8" s="7" t="s">
        <v>142</v>
      </c>
      <c r="D8" s="7" t="s">
        <v>123</v>
      </c>
      <c r="E8" s="11">
        <v>1.31E-3</v>
      </c>
      <c r="L8" t="s">
        <v>1079</v>
      </c>
      <c r="M8" s="7" t="s">
        <v>123</v>
      </c>
      <c r="N8" s="11">
        <v>1.0399999999999999E-3</v>
      </c>
    </row>
    <row r="9" spans="1:14" x14ac:dyDescent="0.45">
      <c r="A9" s="299"/>
      <c r="B9" s="305"/>
      <c r="C9" s="7" t="s">
        <v>143</v>
      </c>
      <c r="D9" s="7" t="s">
        <v>123</v>
      </c>
      <c r="E9" s="11">
        <v>2.3600000000000001E-3</v>
      </c>
      <c r="L9" t="s">
        <v>1080</v>
      </c>
      <c r="M9" s="7" t="s">
        <v>123</v>
      </c>
      <c r="N9" s="11">
        <v>1.31E-3</v>
      </c>
    </row>
    <row r="10" spans="1:14" x14ac:dyDescent="0.45">
      <c r="A10" s="299"/>
      <c r="B10" s="305"/>
      <c r="C10" s="7" t="s">
        <v>144</v>
      </c>
      <c r="D10" s="7" t="s">
        <v>123</v>
      </c>
      <c r="E10" s="11">
        <v>4.2900000000000004E-3</v>
      </c>
      <c r="L10" t="s">
        <v>1081</v>
      </c>
      <c r="M10" s="7" t="s">
        <v>123</v>
      </c>
      <c r="N10" s="11">
        <v>2.3600000000000001E-3</v>
      </c>
    </row>
    <row r="11" spans="1:14" x14ac:dyDescent="0.45">
      <c r="A11" s="299"/>
      <c r="B11" s="305"/>
      <c r="C11" s="7" t="s">
        <v>145</v>
      </c>
      <c r="D11" s="7" t="s">
        <v>123</v>
      </c>
      <c r="E11" s="11">
        <v>6.7000000000000002E-3</v>
      </c>
      <c r="L11" t="s">
        <v>1082</v>
      </c>
      <c r="M11" s="7" t="s">
        <v>123</v>
      </c>
      <c r="N11" s="11">
        <v>4.2900000000000004E-3</v>
      </c>
    </row>
    <row r="12" spans="1:14" x14ac:dyDescent="0.45">
      <c r="A12" s="299"/>
      <c r="B12" s="305"/>
      <c r="C12" s="7" t="s">
        <v>146</v>
      </c>
      <c r="D12" s="7" t="s">
        <v>123</v>
      </c>
      <c r="E12" s="11">
        <v>1.0330000000000001E-2</v>
      </c>
      <c r="L12" t="s">
        <v>1083</v>
      </c>
      <c r="M12" s="7" t="s">
        <v>123</v>
      </c>
      <c r="N12" s="11">
        <v>6.7000000000000002E-3</v>
      </c>
    </row>
    <row r="13" spans="1:14" x14ac:dyDescent="0.45">
      <c r="A13" s="299"/>
      <c r="B13" s="305"/>
      <c r="C13" s="7" t="s">
        <v>140</v>
      </c>
      <c r="D13" s="7" t="s">
        <v>123</v>
      </c>
      <c r="E13" s="11">
        <v>2.0500000000000002E-3</v>
      </c>
      <c r="L13" t="s">
        <v>1084</v>
      </c>
      <c r="M13" s="7" t="s">
        <v>123</v>
      </c>
      <c r="N13" s="11">
        <v>1.0330000000000001E-2</v>
      </c>
    </row>
    <row r="14" spans="1:14" x14ac:dyDescent="0.45">
      <c r="A14" s="299"/>
      <c r="B14" s="305" t="s">
        <v>147</v>
      </c>
      <c r="C14" s="7" t="s">
        <v>148</v>
      </c>
      <c r="D14" s="7" t="s">
        <v>123</v>
      </c>
      <c r="E14" s="11">
        <v>1.9300000000000001E-3</v>
      </c>
      <c r="L14" t="s">
        <v>1085</v>
      </c>
      <c r="M14" s="7" t="s">
        <v>123</v>
      </c>
      <c r="N14" s="11">
        <v>2.0500000000000002E-3</v>
      </c>
    </row>
    <row r="15" spans="1:14" x14ac:dyDescent="0.45">
      <c r="A15" s="299"/>
      <c r="B15" s="305"/>
      <c r="C15" s="7" t="s">
        <v>144</v>
      </c>
      <c r="D15" s="7" t="s">
        <v>123</v>
      </c>
      <c r="E15" s="11">
        <v>2.48E-3</v>
      </c>
      <c r="L15" t="s">
        <v>1086</v>
      </c>
      <c r="M15" s="7" t="s">
        <v>123</v>
      </c>
      <c r="N15" s="11">
        <v>1.9300000000000001E-3</v>
      </c>
    </row>
    <row r="16" spans="1:14" x14ac:dyDescent="0.45">
      <c r="A16" s="299"/>
      <c r="B16" s="305"/>
      <c r="C16" s="7" t="s">
        <v>145</v>
      </c>
      <c r="D16" s="7" t="s">
        <v>123</v>
      </c>
      <c r="E16" s="11">
        <v>3.47E-3</v>
      </c>
      <c r="L16" t="s">
        <v>1087</v>
      </c>
      <c r="M16" s="7" t="s">
        <v>123</v>
      </c>
      <c r="N16" s="11">
        <v>2.48E-3</v>
      </c>
    </row>
    <row r="17" spans="1:14" x14ac:dyDescent="0.45">
      <c r="A17" s="299"/>
      <c r="B17" s="305"/>
      <c r="C17" s="7" t="s">
        <v>146</v>
      </c>
      <c r="D17" s="7" t="s">
        <v>123</v>
      </c>
      <c r="E17" s="11">
        <v>5.1000000000000004E-3</v>
      </c>
      <c r="L17" t="s">
        <v>1088</v>
      </c>
      <c r="M17" s="7" t="s">
        <v>123</v>
      </c>
      <c r="N17" s="11">
        <v>3.47E-3</v>
      </c>
    </row>
    <row r="18" spans="1:14" x14ac:dyDescent="0.45">
      <c r="A18" s="299"/>
      <c r="B18" s="305"/>
      <c r="C18" s="7" t="s">
        <v>140</v>
      </c>
      <c r="D18" s="7" t="s">
        <v>123</v>
      </c>
      <c r="E18" s="11">
        <v>2.3400000000000001E-3</v>
      </c>
      <c r="L18" t="s">
        <v>1089</v>
      </c>
      <c r="M18" s="7" t="s">
        <v>123</v>
      </c>
      <c r="N18" s="11">
        <v>5.1000000000000004E-3</v>
      </c>
    </row>
    <row r="19" spans="1:14" x14ac:dyDescent="0.45">
      <c r="A19" s="299"/>
      <c r="B19" s="305" t="s">
        <v>149</v>
      </c>
      <c r="C19" s="7" t="s">
        <v>150</v>
      </c>
      <c r="D19" s="7" t="s">
        <v>123</v>
      </c>
      <c r="E19" s="11">
        <v>2.14E-3</v>
      </c>
      <c r="L19" t="s">
        <v>1090</v>
      </c>
      <c r="M19" s="7" t="s">
        <v>123</v>
      </c>
      <c r="N19" s="11">
        <v>2.3400000000000001E-3</v>
      </c>
    </row>
    <row r="20" spans="1:14" x14ac:dyDescent="0.45">
      <c r="A20" s="299"/>
      <c r="B20" s="305"/>
      <c r="C20" s="7" t="s">
        <v>151</v>
      </c>
      <c r="D20" s="7" t="s">
        <v>123</v>
      </c>
      <c r="E20" s="11">
        <v>3.3300000000000001E-3</v>
      </c>
      <c r="L20" t="s">
        <v>1091</v>
      </c>
      <c r="M20" s="7" t="s">
        <v>123</v>
      </c>
      <c r="N20" s="11">
        <v>2.14E-3</v>
      </c>
    </row>
    <row r="21" spans="1:14" x14ac:dyDescent="0.45">
      <c r="A21" s="299"/>
      <c r="B21" s="305"/>
      <c r="C21" s="7" t="s">
        <v>140</v>
      </c>
      <c r="D21" s="7" t="s">
        <v>123</v>
      </c>
      <c r="E21" s="11">
        <v>2.6199999999999999E-3</v>
      </c>
      <c r="L21" t="s">
        <v>1092</v>
      </c>
      <c r="M21" s="7" t="s">
        <v>123</v>
      </c>
      <c r="N21" s="11">
        <v>3.3300000000000001E-3</v>
      </c>
    </row>
    <row r="22" spans="1:14" x14ac:dyDescent="0.45">
      <c r="A22" s="299"/>
      <c r="B22" s="305" t="s">
        <v>152</v>
      </c>
      <c r="C22" s="7" t="s">
        <v>153</v>
      </c>
      <c r="D22" s="7" t="s">
        <v>123</v>
      </c>
      <c r="E22" s="11">
        <v>2.0699999999999998E-3</v>
      </c>
      <c r="L22" t="s">
        <v>1093</v>
      </c>
      <c r="M22" s="7" t="s">
        <v>123</v>
      </c>
      <c r="N22" s="11">
        <v>2.6199999999999999E-3</v>
      </c>
    </row>
    <row r="23" spans="1:14" x14ac:dyDescent="0.45">
      <c r="A23" s="299"/>
      <c r="B23" s="305"/>
      <c r="C23" s="7" t="s">
        <v>154</v>
      </c>
      <c r="D23" s="7" t="s">
        <v>123</v>
      </c>
      <c r="E23" s="11">
        <v>9.9900000000000006E-3</v>
      </c>
      <c r="L23" t="s">
        <v>1094</v>
      </c>
      <c r="M23" s="7" t="s">
        <v>123</v>
      </c>
      <c r="N23" s="11">
        <v>2.0699999999999998E-3</v>
      </c>
    </row>
    <row r="24" spans="1:14" ht="14.65" thickBot="1" x14ac:dyDescent="0.5">
      <c r="A24" s="300"/>
      <c r="B24" s="307"/>
      <c r="C24" s="13" t="s">
        <v>140</v>
      </c>
      <c r="D24" s="13" t="s">
        <v>123</v>
      </c>
      <c r="E24" s="14">
        <v>2.3500000000000001E-3</v>
      </c>
      <c r="L24" t="s">
        <v>1095</v>
      </c>
      <c r="M24" s="7" t="s">
        <v>123</v>
      </c>
      <c r="N24" s="11">
        <v>9.9900000000000006E-3</v>
      </c>
    </row>
    <row r="25" spans="1:14" ht="14.65" thickBot="1" x14ac:dyDescent="0.5">
      <c r="A25" s="301" t="s">
        <v>155</v>
      </c>
      <c r="B25" s="306" t="s">
        <v>156</v>
      </c>
      <c r="C25" s="9" t="s">
        <v>134</v>
      </c>
      <c r="D25" s="9" t="s">
        <v>123</v>
      </c>
      <c r="E25" s="10">
        <v>5.6999999999999998E-4</v>
      </c>
      <c r="L25" t="s">
        <v>1096</v>
      </c>
      <c r="M25" s="13" t="s">
        <v>123</v>
      </c>
      <c r="N25" s="14">
        <v>2.3500000000000001E-3</v>
      </c>
    </row>
    <row r="26" spans="1:14" ht="15" customHeight="1" x14ac:dyDescent="0.45">
      <c r="A26" s="302"/>
      <c r="B26" s="305"/>
      <c r="C26" s="7" t="s">
        <v>157</v>
      </c>
      <c r="D26" s="7" t="s">
        <v>123</v>
      </c>
      <c r="E26" s="11">
        <v>6.8999999999999997E-4</v>
      </c>
      <c r="L26" t="s">
        <v>1097</v>
      </c>
      <c r="M26" s="9" t="s">
        <v>123</v>
      </c>
      <c r="N26" s="10">
        <v>5.6999999999999998E-4</v>
      </c>
    </row>
    <row r="27" spans="1:14" x14ac:dyDescent="0.45">
      <c r="A27" s="302"/>
      <c r="B27" s="305"/>
      <c r="C27" s="7" t="s">
        <v>158</v>
      </c>
      <c r="D27" s="7" t="s">
        <v>123</v>
      </c>
      <c r="E27" s="11">
        <v>9.3999999999999997E-4</v>
      </c>
      <c r="L27" t="s">
        <v>1098</v>
      </c>
      <c r="M27" s="7" t="s">
        <v>123</v>
      </c>
      <c r="N27" s="11">
        <v>6.8999999999999997E-4</v>
      </c>
    </row>
    <row r="28" spans="1:14" x14ac:dyDescent="0.45">
      <c r="A28" s="302"/>
      <c r="B28" s="305"/>
      <c r="C28" s="7" t="s">
        <v>159</v>
      </c>
      <c r="D28" s="7" t="s">
        <v>123</v>
      </c>
      <c r="E28" s="11">
        <v>1.31E-3</v>
      </c>
      <c r="L28" t="s">
        <v>1099</v>
      </c>
      <c r="M28" s="7" t="s">
        <v>123</v>
      </c>
      <c r="N28" s="11">
        <v>9.3999999999999997E-4</v>
      </c>
    </row>
    <row r="29" spans="1:14" x14ac:dyDescent="0.45">
      <c r="A29" s="302"/>
      <c r="B29" s="305"/>
      <c r="C29" s="7" t="s">
        <v>160</v>
      </c>
      <c r="D29" s="7" t="s">
        <v>123</v>
      </c>
      <c r="E29" s="11">
        <v>1.81E-3</v>
      </c>
      <c r="L29" t="s">
        <v>1101</v>
      </c>
      <c r="M29" s="7" t="s">
        <v>123</v>
      </c>
      <c r="N29" s="11">
        <v>1.31E-3</v>
      </c>
    </row>
    <row r="30" spans="1:14" x14ac:dyDescent="0.45">
      <c r="A30" s="302"/>
      <c r="B30" s="305"/>
      <c r="C30" s="7" t="s">
        <v>139</v>
      </c>
      <c r="D30" s="7" t="s">
        <v>123</v>
      </c>
      <c r="E30" s="11">
        <v>6.7000000000000002E-3</v>
      </c>
      <c r="L30" t="s">
        <v>1102</v>
      </c>
      <c r="M30" s="7" t="s">
        <v>123</v>
      </c>
      <c r="N30" s="11">
        <v>1.81E-3</v>
      </c>
    </row>
    <row r="31" spans="1:14" x14ac:dyDescent="0.45">
      <c r="A31" s="302"/>
      <c r="B31" s="305"/>
      <c r="C31" s="7" t="s">
        <v>140</v>
      </c>
      <c r="D31" s="7" t="s">
        <v>123</v>
      </c>
      <c r="E31" s="11">
        <v>8.0000000000000004E-4</v>
      </c>
      <c r="L31" t="s">
        <v>1103</v>
      </c>
      <c r="M31" s="7" t="s">
        <v>123</v>
      </c>
      <c r="N31" s="11">
        <v>6.7000000000000002E-3</v>
      </c>
    </row>
    <row r="32" spans="1:14" x14ac:dyDescent="0.45">
      <c r="A32" s="302"/>
      <c r="B32" s="305" t="s">
        <v>161</v>
      </c>
      <c r="C32" s="7" t="s">
        <v>162</v>
      </c>
      <c r="D32" s="7" t="s">
        <v>123</v>
      </c>
      <c r="E32" s="11">
        <v>2.7299999999999998E-3</v>
      </c>
      <c r="L32" t="s">
        <v>1100</v>
      </c>
      <c r="M32" s="7" t="s">
        <v>123</v>
      </c>
      <c r="N32" s="11">
        <v>8.0000000000000004E-4</v>
      </c>
    </row>
    <row r="33" spans="1:14" ht="15" customHeight="1" x14ac:dyDescent="0.45">
      <c r="A33" s="302"/>
      <c r="B33" s="305"/>
      <c r="C33" s="7" t="s">
        <v>145</v>
      </c>
      <c r="D33" s="7" t="s">
        <v>123</v>
      </c>
      <c r="E33" s="11">
        <v>3.63E-3</v>
      </c>
      <c r="L33" t="s">
        <v>1104</v>
      </c>
      <c r="M33" s="7" t="s">
        <v>123</v>
      </c>
      <c r="N33" s="11">
        <v>2.7299999999999998E-3</v>
      </c>
    </row>
    <row r="34" spans="1:14" x14ac:dyDescent="0.45">
      <c r="A34" s="302"/>
      <c r="B34" s="305"/>
      <c r="C34" s="7" t="s">
        <v>146</v>
      </c>
      <c r="D34" s="7" t="s">
        <v>123</v>
      </c>
      <c r="E34" s="11">
        <v>3.1900000000000001E-3</v>
      </c>
      <c r="L34" t="s">
        <v>1105</v>
      </c>
      <c r="M34" s="7" t="s">
        <v>123</v>
      </c>
      <c r="N34" s="11">
        <v>3.63E-3</v>
      </c>
    </row>
    <row r="35" spans="1:14" x14ac:dyDescent="0.45">
      <c r="A35" s="302"/>
      <c r="B35" s="305"/>
      <c r="C35" s="7" t="s">
        <v>163</v>
      </c>
      <c r="D35" s="7" t="s">
        <v>123</v>
      </c>
      <c r="E35" s="11">
        <v>2.5300000000000001E-3</v>
      </c>
      <c r="L35" t="s">
        <v>1106</v>
      </c>
      <c r="M35" s="7" t="s">
        <v>123</v>
      </c>
      <c r="N35" s="11">
        <v>3.1900000000000001E-3</v>
      </c>
    </row>
    <row r="36" spans="1:14" x14ac:dyDescent="0.45">
      <c r="A36" s="302"/>
      <c r="B36" s="305"/>
      <c r="C36" s="7" t="s">
        <v>164</v>
      </c>
      <c r="D36" s="7" t="s">
        <v>123</v>
      </c>
      <c r="E36" s="11">
        <v>4.0200000000000001E-3</v>
      </c>
      <c r="L36" t="s">
        <v>1107</v>
      </c>
      <c r="M36" s="7" t="s">
        <v>123</v>
      </c>
      <c r="N36" s="11">
        <v>2.5300000000000001E-3</v>
      </c>
    </row>
    <row r="37" spans="1:14" x14ac:dyDescent="0.45">
      <c r="A37" s="302"/>
      <c r="B37" s="305"/>
      <c r="C37" s="7" t="s">
        <v>165</v>
      </c>
      <c r="D37" s="7" t="s">
        <v>123</v>
      </c>
      <c r="E37" s="11">
        <v>4.5500000000000002E-3</v>
      </c>
      <c r="L37" t="s">
        <v>1108</v>
      </c>
      <c r="M37" s="7" t="s">
        <v>123</v>
      </c>
      <c r="N37" s="11">
        <v>4.0200000000000001E-3</v>
      </c>
    </row>
    <row r="38" spans="1:14" x14ac:dyDescent="0.45">
      <c r="A38" s="302"/>
      <c r="B38" s="305"/>
      <c r="C38" s="7" t="s">
        <v>140</v>
      </c>
      <c r="D38" s="7" t="s">
        <v>123</v>
      </c>
      <c r="E38" s="11">
        <v>3.0000000000000001E-3</v>
      </c>
      <c r="L38" t="s">
        <v>1109</v>
      </c>
      <c r="M38" s="7" t="s">
        <v>123</v>
      </c>
      <c r="N38" s="11">
        <v>4.5500000000000002E-3</v>
      </c>
    </row>
    <row r="39" spans="1:14" x14ac:dyDescent="0.45">
      <c r="A39" s="302"/>
      <c r="B39" s="305" t="s">
        <v>166</v>
      </c>
      <c r="C39" s="7" t="s">
        <v>167</v>
      </c>
      <c r="D39" s="7" t="s">
        <v>123</v>
      </c>
      <c r="E39" s="11">
        <v>2.8700000000000002E-3</v>
      </c>
      <c r="L39" t="s">
        <v>1110</v>
      </c>
      <c r="M39" s="7" t="s">
        <v>123</v>
      </c>
      <c r="N39" s="11">
        <v>3.0000000000000001E-3</v>
      </c>
    </row>
    <row r="40" spans="1:14" ht="15" customHeight="1" x14ac:dyDescent="0.45">
      <c r="A40" s="302"/>
      <c r="B40" s="305"/>
      <c r="C40" s="7" t="s">
        <v>168</v>
      </c>
      <c r="D40" s="7" t="s">
        <v>123</v>
      </c>
      <c r="E40" s="11">
        <v>3.81E-3</v>
      </c>
      <c r="L40" t="s">
        <v>1111</v>
      </c>
      <c r="M40" s="7" t="s">
        <v>123</v>
      </c>
      <c r="N40" s="11">
        <v>2.8700000000000002E-3</v>
      </c>
    </row>
    <row r="41" spans="1:14" x14ac:dyDescent="0.45">
      <c r="A41" s="302"/>
      <c r="B41" s="305"/>
      <c r="C41" s="7" t="s">
        <v>169</v>
      </c>
      <c r="D41" s="7" t="s">
        <v>123</v>
      </c>
      <c r="E41" s="11">
        <v>3.81E-3</v>
      </c>
      <c r="L41" t="s">
        <v>1112</v>
      </c>
      <c r="M41" s="7" t="s">
        <v>123</v>
      </c>
      <c r="N41" s="11">
        <v>3.81E-3</v>
      </c>
    </row>
    <row r="42" spans="1:14" x14ac:dyDescent="0.45">
      <c r="A42" s="302"/>
      <c r="B42" s="305"/>
      <c r="C42" s="7" t="s">
        <v>170</v>
      </c>
      <c r="D42" s="7" t="s">
        <v>123</v>
      </c>
      <c r="E42" s="11">
        <v>4.5900000000000003E-3</v>
      </c>
      <c r="L42" t="s">
        <v>1113</v>
      </c>
      <c r="M42" s="7" t="s">
        <v>123</v>
      </c>
      <c r="N42" s="11">
        <v>3.81E-3</v>
      </c>
    </row>
    <row r="43" spans="1:14" x14ac:dyDescent="0.45">
      <c r="A43" s="302"/>
      <c r="B43" s="305"/>
      <c r="C43" s="7" t="s">
        <v>171</v>
      </c>
      <c r="D43" s="7" t="s">
        <v>123</v>
      </c>
      <c r="E43" s="11">
        <v>7.3699999999999998E-3</v>
      </c>
      <c r="L43" t="s">
        <v>1114</v>
      </c>
      <c r="M43" s="7" t="s">
        <v>123</v>
      </c>
      <c r="N43" s="11">
        <v>4.5900000000000003E-3</v>
      </c>
    </row>
    <row r="44" spans="1:14" x14ac:dyDescent="0.45">
      <c r="A44" s="302"/>
      <c r="B44" s="305"/>
      <c r="C44" s="7" t="s">
        <v>172</v>
      </c>
      <c r="D44" s="7" t="s">
        <v>123</v>
      </c>
      <c r="E44" s="11">
        <v>8.3300000000000006E-3</v>
      </c>
      <c r="L44" t="s">
        <v>1115</v>
      </c>
      <c r="M44" s="7" t="s">
        <v>123</v>
      </c>
      <c r="N44" s="11">
        <v>7.3699999999999998E-3</v>
      </c>
    </row>
    <row r="45" spans="1:14" x14ac:dyDescent="0.45">
      <c r="A45" s="302"/>
      <c r="B45" s="305"/>
      <c r="C45" s="7" t="s">
        <v>140</v>
      </c>
      <c r="D45" s="7" t="s">
        <v>123</v>
      </c>
      <c r="E45" s="11">
        <v>3.65E-3</v>
      </c>
      <c r="L45" t="s">
        <v>1116</v>
      </c>
      <c r="M45" s="7" t="s">
        <v>123</v>
      </c>
      <c r="N45" s="11">
        <v>8.3300000000000006E-3</v>
      </c>
    </row>
    <row r="46" spans="1:14" x14ac:dyDescent="0.45">
      <c r="A46" s="302"/>
      <c r="B46" s="305" t="s">
        <v>173</v>
      </c>
      <c r="C46" s="7" t="s">
        <v>174</v>
      </c>
      <c r="D46" s="7" t="s">
        <v>123</v>
      </c>
      <c r="E46" s="11">
        <v>7.3499999999999998E-3</v>
      </c>
      <c r="L46" t="s">
        <v>1117</v>
      </c>
      <c r="M46" s="7" t="s">
        <v>123</v>
      </c>
      <c r="N46" s="11">
        <v>3.65E-3</v>
      </c>
    </row>
    <row r="47" spans="1:14" ht="15" customHeight="1" x14ac:dyDescent="0.45">
      <c r="A47" s="302"/>
      <c r="B47" s="305"/>
      <c r="C47" s="7" t="s">
        <v>175</v>
      </c>
      <c r="D47" s="7" t="s">
        <v>123</v>
      </c>
      <c r="E47" s="11">
        <v>1.3220000000000001E-2</v>
      </c>
      <c r="L47" t="s">
        <v>1118</v>
      </c>
      <c r="M47" s="7" t="s">
        <v>123</v>
      </c>
      <c r="N47" s="11">
        <v>7.3499999999999998E-3</v>
      </c>
    </row>
    <row r="48" spans="1:14" x14ac:dyDescent="0.45">
      <c r="A48" s="302"/>
      <c r="B48" s="305"/>
      <c r="C48" s="7" t="s">
        <v>140</v>
      </c>
      <c r="D48" s="7" t="s">
        <v>123</v>
      </c>
      <c r="E48" s="11">
        <v>8.7299999999999999E-3</v>
      </c>
      <c r="L48" t="s">
        <v>1119</v>
      </c>
      <c r="M48" s="7" t="s">
        <v>123</v>
      </c>
      <c r="N48" s="11">
        <v>1.3220000000000001E-2</v>
      </c>
    </row>
    <row r="49" spans="1:14" x14ac:dyDescent="0.45">
      <c r="A49" s="302"/>
      <c r="B49" s="305" t="s">
        <v>176</v>
      </c>
      <c r="C49" s="7" t="s">
        <v>177</v>
      </c>
      <c r="D49" s="7" t="s">
        <v>123</v>
      </c>
      <c r="E49" s="11">
        <v>1.136E-2</v>
      </c>
      <c r="L49" t="s">
        <v>1120</v>
      </c>
      <c r="M49" s="7" t="s">
        <v>123</v>
      </c>
      <c r="N49" s="11">
        <v>8.7299999999999999E-3</v>
      </c>
    </row>
    <row r="50" spans="1:14" ht="15" customHeight="1" x14ac:dyDescent="0.45">
      <c r="A50" s="302"/>
      <c r="B50" s="305"/>
      <c r="C50" s="7" t="s">
        <v>178</v>
      </c>
      <c r="D50" s="7" t="s">
        <v>123</v>
      </c>
      <c r="E50" s="11">
        <v>1.384E-2</v>
      </c>
      <c r="L50" t="s">
        <v>1121</v>
      </c>
      <c r="M50" s="7" t="s">
        <v>123</v>
      </c>
      <c r="N50" s="11">
        <v>1.136E-2</v>
      </c>
    </row>
    <row r="51" spans="1:14" x14ac:dyDescent="0.45">
      <c r="A51" s="302"/>
      <c r="B51" s="305"/>
      <c r="C51" s="7" t="s">
        <v>140</v>
      </c>
      <c r="D51" s="7" t="s">
        <v>123</v>
      </c>
      <c r="E51" s="11">
        <v>1.17E-2</v>
      </c>
      <c r="L51" t="s">
        <v>1122</v>
      </c>
      <c r="M51" s="7" t="s">
        <v>123</v>
      </c>
      <c r="N51" s="11">
        <v>1.384E-2</v>
      </c>
    </row>
    <row r="52" spans="1:14" x14ac:dyDescent="0.45">
      <c r="A52" s="302"/>
      <c r="B52" s="245" t="s">
        <v>179</v>
      </c>
      <c r="C52" s="7" t="s">
        <v>140</v>
      </c>
      <c r="D52" s="7" t="s">
        <v>123</v>
      </c>
      <c r="E52" s="11">
        <v>8.5279999999999995E-2</v>
      </c>
      <c r="L52" t="s">
        <v>1123</v>
      </c>
      <c r="M52" s="7" t="s">
        <v>123</v>
      </c>
      <c r="N52" s="11">
        <v>1.17E-2</v>
      </c>
    </row>
    <row r="53" spans="1:14" ht="14.65" thickBot="1" x14ac:dyDescent="0.5">
      <c r="A53" s="303"/>
      <c r="B53" s="246" t="s">
        <v>180</v>
      </c>
      <c r="C53" s="13" t="s">
        <v>181</v>
      </c>
      <c r="D53" s="13" t="s">
        <v>123</v>
      </c>
      <c r="E53" s="14">
        <v>2.96E-3</v>
      </c>
      <c r="L53" t="s">
        <v>1124</v>
      </c>
      <c r="M53" s="7" t="s">
        <v>123</v>
      </c>
      <c r="N53" s="11">
        <v>8.5279999999999995E-2</v>
      </c>
    </row>
    <row r="54" spans="1:14" ht="14.65" thickBot="1" x14ac:dyDescent="0.5">
      <c r="L54" t="s">
        <v>1125</v>
      </c>
      <c r="M54" s="13" t="s">
        <v>123</v>
      </c>
      <c r="N54" s="14">
        <v>2.96E-3</v>
      </c>
    </row>
  </sheetData>
  <mergeCells count="12">
    <mergeCell ref="B46:B48"/>
    <mergeCell ref="B49:B51"/>
    <mergeCell ref="A25:A53"/>
    <mergeCell ref="A1:A24"/>
    <mergeCell ref="B1:B7"/>
    <mergeCell ref="B8:B13"/>
    <mergeCell ref="B14:B18"/>
    <mergeCell ref="B19:B21"/>
    <mergeCell ref="B22:B24"/>
    <mergeCell ref="B25:B31"/>
    <mergeCell ref="B32:B38"/>
    <mergeCell ref="B39:B4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372D-BEA7-49ED-9CF5-457AED3DBFA9}">
  <dimension ref="A1:J5"/>
  <sheetViews>
    <sheetView workbookViewId="0">
      <selection activeCell="I6" sqref="I6"/>
    </sheetView>
  </sheetViews>
  <sheetFormatPr defaultRowHeight="14.25" x14ac:dyDescent="0.45"/>
  <cols>
    <col min="1" max="1" width="17.1328125" customWidth="1"/>
    <col min="3" max="3" width="14.6640625" customWidth="1"/>
    <col min="7" max="7" width="17.46484375" bestFit="1" customWidth="1"/>
  </cols>
  <sheetData>
    <row r="1" spans="1:10" x14ac:dyDescent="0.45">
      <c r="A1" s="217" t="s">
        <v>1130</v>
      </c>
      <c r="B1" s="5"/>
      <c r="C1" s="5" t="str">
        <f>A2</f>
        <v>Electronics</v>
      </c>
      <c r="D1" t="s">
        <v>1129</v>
      </c>
      <c r="E1" t="str">
        <f>A3</f>
        <v>Energy</v>
      </c>
      <c r="F1" t="s">
        <v>1129</v>
      </c>
      <c r="G1" t="str">
        <f>A4</f>
        <v>Consumables</v>
      </c>
      <c r="H1" t="s">
        <v>1129</v>
      </c>
      <c r="I1" t="str">
        <f>A5</f>
        <v>Services</v>
      </c>
      <c r="J1" t="s">
        <v>1129</v>
      </c>
    </row>
    <row r="2" spans="1:10" x14ac:dyDescent="0.45">
      <c r="A2" t="s">
        <v>613</v>
      </c>
      <c r="C2" t="s">
        <v>1186</v>
      </c>
      <c r="D2">
        <v>1</v>
      </c>
      <c r="E2" t="s">
        <v>1190</v>
      </c>
      <c r="F2">
        <v>13</v>
      </c>
      <c r="G2" t="s">
        <v>1191</v>
      </c>
      <c r="H2">
        <v>3</v>
      </c>
      <c r="I2" t="s">
        <v>1190</v>
      </c>
      <c r="J2">
        <v>43</v>
      </c>
    </row>
    <row r="3" spans="1:10" x14ac:dyDescent="0.45">
      <c r="A3" t="s">
        <v>1126</v>
      </c>
      <c r="C3" t="s">
        <v>1187</v>
      </c>
      <c r="D3">
        <v>2</v>
      </c>
      <c r="E3" t="s">
        <v>1190</v>
      </c>
      <c r="F3">
        <v>43</v>
      </c>
      <c r="G3" t="s">
        <v>1192</v>
      </c>
      <c r="H3">
        <v>4</v>
      </c>
      <c r="I3" t="s">
        <v>1190</v>
      </c>
      <c r="J3">
        <v>34</v>
      </c>
    </row>
    <row r="4" spans="1:10" x14ac:dyDescent="0.45">
      <c r="A4" t="s">
        <v>1127</v>
      </c>
      <c r="C4" t="s">
        <v>1188</v>
      </c>
      <c r="D4">
        <v>3</v>
      </c>
      <c r="E4" t="s">
        <v>1190</v>
      </c>
      <c r="F4">
        <v>42</v>
      </c>
      <c r="I4" t="s">
        <v>1190</v>
      </c>
      <c r="J4">
        <v>43</v>
      </c>
    </row>
    <row r="5" spans="1:10" x14ac:dyDescent="0.45">
      <c r="A5" t="s">
        <v>1128</v>
      </c>
      <c r="C5" t="s">
        <v>1189</v>
      </c>
      <c r="D5">
        <v>4</v>
      </c>
      <c r="E5" t="s">
        <v>1190</v>
      </c>
      <c r="F5">
        <v>42</v>
      </c>
      <c r="I5" t="s">
        <v>1190</v>
      </c>
      <c r="J5">
        <v>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6866-CC52-4B36-986B-C6BF1DEA1D59}">
  <dimension ref="A1:B5"/>
  <sheetViews>
    <sheetView workbookViewId="0">
      <selection activeCell="B10" sqref="B10"/>
    </sheetView>
  </sheetViews>
  <sheetFormatPr defaultRowHeight="14.25" x14ac:dyDescent="0.45"/>
  <cols>
    <col min="1" max="1" width="17.1328125" bestFit="1" customWidth="1"/>
  </cols>
  <sheetData>
    <row r="1" spans="1:2" x14ac:dyDescent="0.45">
      <c r="A1" t="s">
        <v>1131</v>
      </c>
      <c r="B1" t="s">
        <v>1129</v>
      </c>
    </row>
    <row r="2" spans="1:2" x14ac:dyDescent="0.45">
      <c r="A2" t="s">
        <v>598</v>
      </c>
      <c r="B2" s="252">
        <v>1</v>
      </c>
    </row>
    <row r="3" spans="1:2" x14ac:dyDescent="0.45">
      <c r="A3" t="s">
        <v>600</v>
      </c>
      <c r="B3" s="252">
        <v>2</v>
      </c>
    </row>
    <row r="4" spans="1:2" ht="15.4" customHeight="1" x14ac:dyDescent="0.45">
      <c r="A4" s="250" t="s">
        <v>1193</v>
      </c>
      <c r="B4" s="253">
        <v>0.25600000000000001</v>
      </c>
    </row>
    <row r="5" spans="1:2" x14ac:dyDescent="0.45">
      <c r="A5" s="251" t="s">
        <v>1194</v>
      </c>
      <c r="B5" s="254">
        <v>0.36099999999999999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0D59-E4D1-471E-9848-DB3F19451A42}">
  <dimension ref="A1:B4"/>
  <sheetViews>
    <sheetView workbookViewId="0">
      <selection activeCell="D1" sqref="D1"/>
    </sheetView>
  </sheetViews>
  <sheetFormatPr defaultRowHeight="14.25" x14ac:dyDescent="0.45"/>
  <sheetData>
    <row r="1" spans="1:2" x14ac:dyDescent="0.45">
      <c r="A1" s="162" t="s">
        <v>1136</v>
      </c>
      <c r="B1" s="162" t="s">
        <v>1129</v>
      </c>
    </row>
    <row r="2" spans="1:2" x14ac:dyDescent="0.45">
      <c r="A2" t="s">
        <v>1137</v>
      </c>
      <c r="B2">
        <v>2.21</v>
      </c>
    </row>
    <row r="3" spans="1:2" x14ac:dyDescent="0.45">
      <c r="A3" t="s">
        <v>1138</v>
      </c>
      <c r="B3">
        <v>2.2999999999999998</v>
      </c>
    </row>
    <row r="4" spans="1:2" x14ac:dyDescent="0.45">
      <c r="A4" t="s">
        <v>1139</v>
      </c>
      <c r="B4">
        <v>1.2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94AC-BE2B-4FC6-980E-91DE903DEF34}">
  <dimension ref="A1:F47"/>
  <sheetViews>
    <sheetView topLeftCell="A10" workbookViewId="0">
      <selection activeCell="A8" sqref="A8"/>
    </sheetView>
  </sheetViews>
  <sheetFormatPr defaultRowHeight="14.25" x14ac:dyDescent="0.45"/>
  <cols>
    <col min="1" max="1" width="31" customWidth="1"/>
    <col min="4" max="4" width="41.6640625" customWidth="1"/>
    <col min="5" max="5" width="19.46484375" customWidth="1"/>
    <col min="6" max="6" width="19.796875" customWidth="1"/>
    <col min="8" max="8" width="11" customWidth="1"/>
    <col min="11" max="11" width="23.796875" customWidth="1"/>
  </cols>
  <sheetData>
    <row r="1" spans="1:6" x14ac:dyDescent="0.45">
      <c r="A1" s="247" t="s">
        <v>1141</v>
      </c>
    </row>
    <row r="2" spans="1:6" x14ac:dyDescent="0.45">
      <c r="A2" t="s">
        <v>1142</v>
      </c>
    </row>
    <row r="3" spans="1:6" x14ac:dyDescent="0.45">
      <c r="A3" t="s">
        <v>1182</v>
      </c>
    </row>
    <row r="4" spans="1:6" x14ac:dyDescent="0.45">
      <c r="A4" t="s">
        <v>1181</v>
      </c>
    </row>
    <row r="5" spans="1:6" x14ac:dyDescent="0.45">
      <c r="A5" s="248" t="s">
        <v>1143</v>
      </c>
    </row>
    <row r="6" spans="1:6" x14ac:dyDescent="0.45">
      <c r="A6" t="s">
        <v>1183</v>
      </c>
    </row>
    <row r="7" spans="1:6" x14ac:dyDescent="0.45">
      <c r="A7" t="s">
        <v>1184</v>
      </c>
      <c r="D7" t="s">
        <v>1172</v>
      </c>
    </row>
    <row r="8" spans="1:6" x14ac:dyDescent="0.45">
      <c r="A8" t="s">
        <v>1185</v>
      </c>
    </row>
    <row r="11" spans="1:6" x14ac:dyDescent="0.45">
      <c r="A11" s="247" t="s">
        <v>1147</v>
      </c>
      <c r="B11" s="247" t="s">
        <v>1140</v>
      </c>
    </row>
    <row r="12" spans="1:6" x14ac:dyDescent="0.45">
      <c r="A12" t="s">
        <v>1148</v>
      </c>
      <c r="B12">
        <v>1</v>
      </c>
    </row>
    <row r="13" spans="1:6" x14ac:dyDescent="0.45">
      <c r="A13" t="s">
        <v>1146</v>
      </c>
      <c r="B13">
        <v>1</v>
      </c>
      <c r="F13" s="248"/>
    </row>
    <row r="14" spans="1:6" x14ac:dyDescent="0.45">
      <c r="A14" t="s">
        <v>1149</v>
      </c>
      <c r="B14">
        <v>1</v>
      </c>
    </row>
    <row r="16" spans="1:6" x14ac:dyDescent="0.45">
      <c r="A16" s="247" t="s">
        <v>1179</v>
      </c>
      <c r="B16" s="247" t="s">
        <v>1140</v>
      </c>
    </row>
    <row r="17" spans="1:4" x14ac:dyDescent="0.45">
      <c r="A17" t="s">
        <v>1150</v>
      </c>
      <c r="B17">
        <v>1</v>
      </c>
      <c r="D17" t="s">
        <v>1151</v>
      </c>
    </row>
    <row r="18" spans="1:4" x14ac:dyDescent="0.45">
      <c r="A18" t="s">
        <v>1152</v>
      </c>
      <c r="B18">
        <v>1</v>
      </c>
      <c r="D18" t="s">
        <v>1153</v>
      </c>
    </row>
    <row r="19" spans="1:4" x14ac:dyDescent="0.45">
      <c r="A19" t="s">
        <v>1154</v>
      </c>
      <c r="B19">
        <v>1</v>
      </c>
      <c r="D19" t="s">
        <v>1155</v>
      </c>
    </row>
    <row r="20" spans="1:4" x14ac:dyDescent="0.45">
      <c r="A20" t="s">
        <v>1156</v>
      </c>
      <c r="B20">
        <v>1</v>
      </c>
    </row>
    <row r="22" spans="1:4" x14ac:dyDescent="0.45">
      <c r="A22" s="247" t="s">
        <v>1180</v>
      </c>
      <c r="B22" s="247" t="s">
        <v>1140</v>
      </c>
    </row>
    <row r="23" spans="1:4" x14ac:dyDescent="0.45">
      <c r="A23" t="s">
        <v>1157</v>
      </c>
      <c r="B23">
        <v>1</v>
      </c>
    </row>
    <row r="24" spans="1:4" x14ac:dyDescent="0.45">
      <c r="A24" t="s">
        <v>1158</v>
      </c>
      <c r="B24">
        <v>1</v>
      </c>
    </row>
    <row r="25" spans="1:4" x14ac:dyDescent="0.45">
      <c r="A25" t="s">
        <v>1159</v>
      </c>
      <c r="B25">
        <v>1</v>
      </c>
    </row>
    <row r="26" spans="1:4" x14ac:dyDescent="0.45">
      <c r="A26" t="s">
        <v>1160</v>
      </c>
      <c r="B26">
        <v>1</v>
      </c>
    </row>
    <row r="28" spans="1:4" x14ac:dyDescent="0.45">
      <c r="A28" s="249" t="s">
        <v>1143</v>
      </c>
      <c r="B28" s="247" t="s">
        <v>1140</v>
      </c>
    </row>
    <row r="29" spans="1:4" x14ac:dyDescent="0.45">
      <c r="A29" t="s">
        <v>1161</v>
      </c>
      <c r="B29">
        <v>1</v>
      </c>
      <c r="D29" t="s">
        <v>1162</v>
      </c>
    </row>
    <row r="30" spans="1:4" x14ac:dyDescent="0.45">
      <c r="A30" t="s">
        <v>1163</v>
      </c>
      <c r="B30">
        <v>1</v>
      </c>
      <c r="D30" t="s">
        <v>1164</v>
      </c>
    </row>
    <row r="31" spans="1:4" x14ac:dyDescent="0.45">
      <c r="A31" t="s">
        <v>1165</v>
      </c>
      <c r="B31">
        <v>1</v>
      </c>
    </row>
    <row r="32" spans="1:4" x14ac:dyDescent="0.45">
      <c r="A32" t="s">
        <v>1166</v>
      </c>
      <c r="B32">
        <v>1</v>
      </c>
    </row>
    <row r="34" spans="1:4" x14ac:dyDescent="0.45">
      <c r="A34" s="247" t="s">
        <v>1144</v>
      </c>
      <c r="B34" s="247" t="s">
        <v>1140</v>
      </c>
    </row>
    <row r="35" spans="1:4" x14ac:dyDescent="0.45">
      <c r="A35" t="s">
        <v>1167</v>
      </c>
      <c r="B35">
        <v>1</v>
      </c>
    </row>
    <row r="36" spans="1:4" x14ac:dyDescent="0.45">
      <c r="A36" t="s">
        <v>1168</v>
      </c>
      <c r="B36">
        <v>1</v>
      </c>
    </row>
    <row r="37" spans="1:4" x14ac:dyDescent="0.45">
      <c r="A37" t="s">
        <v>1169</v>
      </c>
      <c r="B37">
        <v>1</v>
      </c>
      <c r="D37" t="s">
        <v>1170</v>
      </c>
    </row>
    <row r="39" spans="1:4" x14ac:dyDescent="0.45">
      <c r="A39" s="247" t="s">
        <v>1171</v>
      </c>
      <c r="B39" s="247" t="s">
        <v>1140</v>
      </c>
    </row>
    <row r="40" spans="1:4" x14ac:dyDescent="0.45">
      <c r="A40" t="s">
        <v>1173</v>
      </c>
      <c r="B40">
        <v>1</v>
      </c>
    </row>
    <row r="41" spans="1:4" x14ac:dyDescent="0.45">
      <c r="A41" t="s">
        <v>1174</v>
      </c>
      <c r="B41">
        <v>1</v>
      </c>
    </row>
    <row r="42" spans="1:4" x14ac:dyDescent="0.45">
      <c r="A42" t="s">
        <v>1175</v>
      </c>
      <c r="B42">
        <v>1</v>
      </c>
    </row>
    <row r="44" spans="1:4" x14ac:dyDescent="0.45">
      <c r="A44" s="247" t="s">
        <v>1145</v>
      </c>
      <c r="B44" s="247" t="s">
        <v>1140</v>
      </c>
    </row>
    <row r="45" spans="1:4" x14ac:dyDescent="0.45">
      <c r="A45" t="s">
        <v>1176</v>
      </c>
      <c r="B45">
        <v>1</v>
      </c>
    </row>
    <row r="46" spans="1:4" x14ac:dyDescent="0.45">
      <c r="A46" t="s">
        <v>1177</v>
      </c>
      <c r="B46">
        <v>1</v>
      </c>
    </row>
    <row r="47" spans="1:4" x14ac:dyDescent="0.45">
      <c r="A47" t="s">
        <v>1178</v>
      </c>
      <c r="B47">
        <v>1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d42d2d-1c72-4cb3-961a-8eacd8eb79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21F11EEDDE384FB7C085565B41D8A3" ma:contentTypeVersion="13" ma:contentTypeDescription="Create a new document." ma:contentTypeScope="" ma:versionID="3f2110d999b2198ca905f709498fe5f1">
  <xsd:schema xmlns:xsd="http://www.w3.org/2001/XMLSchema" xmlns:xs="http://www.w3.org/2001/XMLSchema" xmlns:p="http://schemas.microsoft.com/office/2006/metadata/properties" xmlns:ns3="1cd42d2d-1c72-4cb3-961a-8eacd8eb79ad" xmlns:ns4="c4b714d6-5279-4714-9d1b-8fd92f2c755f" targetNamespace="http://schemas.microsoft.com/office/2006/metadata/properties" ma:root="true" ma:fieldsID="eb26693b7426f3e8708c7b5214bebf03" ns3:_="" ns4:_="">
    <xsd:import namespace="1cd42d2d-1c72-4cb3-961a-8eacd8eb79ad"/>
    <xsd:import namespace="c4b714d6-5279-4714-9d1b-8fd92f2c75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d42d2d-1c72-4cb3-961a-8eacd8eb7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714d6-5279-4714-9d1b-8fd92f2c755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F9F8EA-6182-46F4-95C0-EF389A4E85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BDBB37-AD8B-40CA-8F27-3DEEC02D132C}">
  <ds:schemaRefs>
    <ds:schemaRef ds:uri="http://schemas.microsoft.com/office/2006/metadata/properties"/>
    <ds:schemaRef ds:uri="http://schemas.microsoft.com/office/infopath/2007/PartnerControls"/>
    <ds:schemaRef ds:uri="1cd42d2d-1c72-4cb3-961a-8eacd8eb79ad"/>
  </ds:schemaRefs>
</ds:datastoreItem>
</file>

<file path=customXml/itemProps3.xml><?xml version="1.0" encoding="utf-8"?>
<ds:datastoreItem xmlns:ds="http://schemas.openxmlformats.org/officeDocument/2006/customXml" ds:itemID="{D040ECB6-93F9-4808-A03A-B1CAE005DE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d42d2d-1c72-4cb3-961a-8eacd8eb79ad"/>
    <ds:schemaRef ds:uri="c4b714d6-5279-4714-9d1b-8fd92f2c75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Data Sheet</vt:lpstr>
      <vt:lpstr>Materials</vt:lpstr>
      <vt:lpstr>Transport WTT</vt:lpstr>
      <vt:lpstr>Transport</vt:lpstr>
      <vt:lpstr>Machine Types</vt:lpstr>
      <vt:lpstr>Recycling</vt:lpstr>
      <vt:lpstr>Disassembly by Industry</vt:lpstr>
      <vt:lpstr>Usage Types</vt:lpstr>
      <vt:lpstr>Facilities</vt:lpstr>
      <vt:lpstr>Process</vt:lpstr>
      <vt:lpstr>Machine_Process</vt:lpstr>
      <vt:lpstr>YCM</vt:lpstr>
      <vt:lpstr>Amada</vt:lpstr>
      <vt:lpstr>Roku Roku</vt:lpstr>
      <vt:lpstr>Mazak</vt:lpstr>
      <vt:lpstr>GWP of GHG_gases</vt:lpstr>
      <vt:lpstr>Packaging</vt:lpstr>
      <vt:lpstr>Manufacturing</vt:lpstr>
      <vt:lpstr>Test Page</vt:lpstr>
      <vt:lpstr>Transport Test Page</vt:lpstr>
      <vt:lpstr>Van</vt:lpstr>
      <vt:lpstr>HGV</vt:lpstr>
      <vt:lpstr>Freight Flight</vt:lpstr>
      <vt:lpstr>Rail</vt:lpstr>
      <vt:lpstr>Ship</vt:lpstr>
      <vt:lpstr>Usage</vt:lpstr>
      <vt:lpstr>End-of-Life</vt:lpstr>
      <vt:lpstr>Assembly</vt:lpstr>
      <vt:lpstr>Waste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LIM MIN KE DELVIN</dc:creator>
  <cp:keywords/>
  <dc:description/>
  <cp:lastModifiedBy>htoo myat lin</cp:lastModifiedBy>
  <cp:revision/>
  <dcterms:created xsi:type="dcterms:W3CDTF">2025-03-17T06:47:34Z</dcterms:created>
  <dcterms:modified xsi:type="dcterms:W3CDTF">2026-01-23T05:22:06Z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0x0101002421F11EEDDE384FB7C085565B41D8A3</vt:lpwstr>
  </property>
</Properties>
</file>